
<file path=[Content_Types].xml><?xml version="1.0" encoding="utf-8"?>
<Types xmlns="http://schemas.openxmlformats.org/package/2006/content-types">
  <Override PartName="/xl/worksheets/sheet1.xml" ContentType="application/vnd.openxmlformats-officedocument.spreadsheetml.worksheet+xml"/>
  <Override PartName="/xl/workbook.xml" ContentType="application/vnd.ms-excel.sheet.macroEnabled.main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xl/charts/chart3.xml" ContentType="application/vnd.openxmlformats-officedocument.drawingml.chart+xml"/>
  <Default Extension="xml" ContentType="application/xml"/>
  <Override PartName="/xl/theme/theme1.xml" ContentType="application/vnd.openxmlformats-officedocument.theme+xml"/>
  <Override PartName="/xl/charts/chart1.xml" ContentType="application/vnd.openxmlformats-officedocument.drawingml.chart+xml"/>
  <Override PartName="/xl/sharedStrings.xml" ContentType="application/vnd.openxmlformats-officedocument.spreadsheetml.sharedStrings+xml"/>
  <Default Extension="emf" ContentType="image/x-emf"/>
  <Default Extension="bin" ContentType="application/vnd.ms-office.vbaProject"/>
  <Default Extension="rels" ContentType="application/vnd.openxmlformats-package.relationship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charts/chart5.xml" ContentType="application/vnd.openxmlformats-officedocument.drawingml.chart+xml"/>
  <Override PartName="/xl/charts/chart2.xml" ContentType="application/vnd.openxmlformats-officedocument.drawingml.chart+xml"/>
  <Default Extension="vml" ContentType="application/vnd.openxmlformats-officedocument.vmlDrawing"/>
  <Override PartName="/xl/calcChain.xml" ContentType="application/vnd.openxmlformats-officedocument.spreadsheetml.calcChain+xml"/>
  <Override PartName="/xl/styles.xml" ContentType="application/vnd.openxmlformats-officedocument.spreadsheetml.styles+xml"/>
  <Override PartName="/xl/charts/chart4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autoCompressPictures="0"/>
  <bookViews>
    <workbookView xWindow="-20" yWindow="-20" windowWidth="25540" windowHeight="14840" firstSheet="1" activeTab="1"/>
  </bookViews>
  <sheets>
    <sheet name="445753" sheetId="2" state="hidden" r:id="rId1"/>
    <sheet name="Main" sheetId="1" r:id="rId2"/>
  </sheets>
  <calcPr calcId="125725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B48" i="1"/>
  <c r="C38"/>
  <c r="D8"/>
  <c r="D12"/>
  <c r="B95"/>
  <c r="E12"/>
  <c r="C95"/>
  <c r="D33"/>
  <c r="F8"/>
  <c r="F12"/>
  <c r="D95"/>
  <c r="C29"/>
  <c r="J79"/>
  <c r="B29"/>
  <c r="I79"/>
  <c r="D29"/>
  <c r="K79"/>
  <c r="M79"/>
  <c r="J81"/>
  <c r="I81"/>
  <c r="K81"/>
  <c r="D87"/>
  <c r="B87"/>
  <c r="C87"/>
  <c r="F87"/>
  <c r="D88"/>
  <c r="C88"/>
  <c r="I86"/>
  <c r="G92"/>
  <c r="B88"/>
  <c r="H92"/>
  <c r="I92"/>
  <c r="J86"/>
  <c r="G93"/>
  <c r="H93"/>
  <c r="I93"/>
  <c r="K86"/>
  <c r="G94"/>
  <c r="H94"/>
  <c r="I94"/>
  <c r="B98" a="1"/>
  <c r="B34"/>
  <c r="B26"/>
  <c r="C26"/>
  <c r="D26"/>
  <c r="B27"/>
  <c r="C27"/>
  <c r="D27"/>
  <c r="B28"/>
  <c r="C35"/>
  <c r="C28"/>
  <c r="D28"/>
  <c r="B30"/>
  <c r="C30"/>
  <c r="D30"/>
  <c r="B31"/>
  <c r="C31"/>
  <c r="D31"/>
  <c r="B32"/>
  <c r="C32"/>
  <c r="D32"/>
  <c r="B33"/>
  <c r="C33"/>
  <c r="C34"/>
  <c r="D34"/>
  <c r="B35"/>
  <c r="D35"/>
  <c r="B36"/>
  <c r="C36"/>
  <c r="D36"/>
  <c r="B37"/>
  <c r="C37"/>
  <c r="D37"/>
  <c r="B38"/>
  <c r="D38"/>
  <c r="B39"/>
  <c r="C39"/>
  <c r="D39"/>
  <c r="B40"/>
  <c r="C40"/>
  <c r="D40"/>
  <c r="B41"/>
  <c r="C41"/>
  <c r="D41"/>
  <c r="B42"/>
  <c r="C42"/>
  <c r="D42"/>
  <c r="B43"/>
  <c r="C43"/>
  <c r="D43"/>
  <c r="B44"/>
  <c r="C44"/>
  <c r="D44"/>
  <c r="B45"/>
  <c r="C46"/>
  <c r="C45"/>
  <c r="D45"/>
  <c r="B46"/>
  <c r="D46"/>
  <c r="B47"/>
  <c r="C47"/>
  <c r="D47"/>
  <c r="C48"/>
  <c r="D48"/>
  <c r="B49"/>
  <c r="C51"/>
  <c r="C49"/>
  <c r="D49"/>
  <c r="B50"/>
  <c r="C50"/>
  <c r="D50"/>
  <c r="B51"/>
  <c r="D51"/>
  <c r="B52"/>
  <c r="C52"/>
  <c r="D52"/>
  <c r="B53"/>
  <c r="C53"/>
  <c r="D53"/>
  <c r="B54"/>
  <c r="C54"/>
  <c r="D54"/>
  <c r="B55"/>
  <c r="C55"/>
  <c r="D55"/>
  <c r="B56"/>
  <c r="C56"/>
  <c r="D56"/>
  <c r="B57"/>
  <c r="C57"/>
  <c r="D57"/>
  <c r="B105" a="1"/>
  <c r="B192"/>
  <c r="C192"/>
  <c r="E192"/>
  <c r="B195" a="1"/>
  <c r="H223"/>
  <c r="D308"/>
  <c r="G223"/>
  <c r="C308"/>
  <c r="H225"/>
  <c r="D307"/>
  <c r="G225"/>
  <c r="C307"/>
  <c r="H222"/>
  <c r="D305"/>
  <c r="G222"/>
  <c r="C305"/>
  <c r="H221"/>
  <c r="D304"/>
  <c r="G221"/>
  <c r="C304"/>
  <c r="H219"/>
  <c r="D302"/>
  <c r="G219"/>
  <c r="C302"/>
  <c r="H220"/>
  <c r="D301"/>
  <c r="G220"/>
  <c r="C301"/>
  <c r="H218"/>
  <c r="D299"/>
  <c r="G218"/>
  <c r="C299"/>
  <c r="H217"/>
  <c r="D298"/>
  <c r="G217"/>
  <c r="C298"/>
  <c r="H215"/>
  <c r="D296"/>
  <c r="G215"/>
  <c r="C296"/>
  <c r="H216"/>
  <c r="D295"/>
  <c r="G216"/>
  <c r="C295"/>
  <c r="H214"/>
  <c r="D293"/>
  <c r="G214"/>
  <c r="C293"/>
  <c r="H213"/>
  <c r="D292"/>
  <c r="G213"/>
  <c r="C292"/>
  <c r="H201"/>
  <c r="D290"/>
  <c r="G201"/>
  <c r="C290"/>
  <c r="H199"/>
  <c r="D289"/>
  <c r="G199"/>
  <c r="C289"/>
  <c r="D287"/>
  <c r="C287"/>
  <c r="H200"/>
  <c r="D286"/>
  <c r="G200"/>
  <c r="C286"/>
  <c r="D284"/>
  <c r="C284"/>
  <c r="H202"/>
  <c r="D283"/>
  <c r="G202"/>
  <c r="C283"/>
  <c r="H197"/>
  <c r="D281"/>
  <c r="G197"/>
  <c r="C281"/>
  <c r="H196"/>
  <c r="D280"/>
  <c r="G196"/>
  <c r="C280"/>
  <c r="H198"/>
  <c r="D278"/>
  <c r="G198"/>
  <c r="C278"/>
  <c r="H227"/>
  <c r="D277"/>
  <c r="G227"/>
  <c r="C277"/>
  <c r="H226"/>
  <c r="D276"/>
  <c r="G226"/>
  <c r="C276"/>
  <c r="H208"/>
  <c r="D274"/>
  <c r="G208"/>
  <c r="C274"/>
  <c r="H209"/>
  <c r="D273"/>
  <c r="G209"/>
  <c r="C273"/>
  <c r="H207"/>
  <c r="D271"/>
  <c r="G207"/>
  <c r="C271"/>
  <c r="H210"/>
  <c r="D270"/>
  <c r="G210"/>
  <c r="C270"/>
  <c r="H206"/>
  <c r="D268"/>
  <c r="G206"/>
  <c r="C268"/>
  <c r="H205"/>
  <c r="D267"/>
  <c r="G205"/>
  <c r="C267"/>
  <c r="H203"/>
  <c r="D265"/>
  <c r="G203"/>
  <c r="C265"/>
  <c r="H204"/>
  <c r="D264"/>
  <c r="G204"/>
  <c r="C264"/>
  <c r="H224"/>
  <c r="D262"/>
  <c r="G224"/>
  <c r="C262"/>
  <c r="D261"/>
  <c r="C261"/>
  <c r="D260"/>
  <c r="C260"/>
  <c r="D259"/>
  <c r="C259"/>
  <c r="D258"/>
  <c r="C258"/>
  <c r="H195"/>
  <c r="D257"/>
  <c r="G195"/>
  <c r="C257"/>
  <c r="H211"/>
  <c r="D255"/>
  <c r="G211"/>
  <c r="C255"/>
  <c r="D254"/>
  <c r="C254"/>
  <c r="D253"/>
  <c r="C253"/>
  <c r="G252"/>
  <c r="D252"/>
  <c r="C252"/>
  <c r="D251"/>
  <c r="C251"/>
  <c r="H212"/>
  <c r="D250"/>
  <c r="G212"/>
  <c r="C250"/>
  <c r="D248"/>
  <c r="C248"/>
  <c r="D247"/>
  <c r="C247"/>
  <c r="D246"/>
  <c r="C246"/>
  <c r="D245"/>
  <c r="C245"/>
  <c r="D244"/>
  <c r="C244"/>
  <c r="D243"/>
  <c r="C243"/>
  <c r="D242"/>
  <c r="C242"/>
  <c r="D241"/>
  <c r="C241"/>
  <c r="D240"/>
  <c r="C240"/>
  <c r="D238"/>
  <c r="C238"/>
  <c r="D237"/>
  <c r="C237"/>
  <c r="D236"/>
  <c r="C236"/>
  <c r="D235"/>
  <c r="C235"/>
  <c r="D234"/>
  <c r="C234"/>
  <c r="D233"/>
  <c r="C233"/>
  <c r="D232"/>
  <c r="C232"/>
  <c r="D231"/>
  <c r="C231"/>
  <c r="D230"/>
  <c r="C230"/>
  <c r="J227"/>
  <c r="I227"/>
  <c r="J226"/>
  <c r="I226"/>
  <c r="J225"/>
  <c r="I225"/>
  <c r="J224"/>
  <c r="I224"/>
  <c r="J223"/>
  <c r="I223"/>
  <c r="J222"/>
  <c r="I222"/>
  <c r="J221"/>
  <c r="I221"/>
  <c r="J220"/>
  <c r="I220"/>
  <c r="J219"/>
  <c r="I219"/>
  <c r="J218"/>
  <c r="I218"/>
  <c r="J217"/>
  <c r="I217"/>
  <c r="J216"/>
  <c r="I216"/>
  <c r="J215"/>
  <c r="I215"/>
  <c r="J214"/>
  <c r="I214"/>
  <c r="J213"/>
  <c r="I213"/>
  <c r="J212"/>
  <c r="I212"/>
  <c r="J211"/>
  <c r="I211"/>
  <c r="J210"/>
  <c r="I210"/>
  <c r="J209"/>
  <c r="I209"/>
  <c r="J208"/>
  <c r="I208"/>
  <c r="J207"/>
  <c r="I207"/>
  <c r="J206"/>
  <c r="I206"/>
  <c r="J205"/>
  <c r="I205"/>
  <c r="J204"/>
  <c r="I204"/>
  <c r="J203"/>
  <c r="I203"/>
  <c r="J202"/>
  <c r="I202"/>
  <c r="J201"/>
  <c r="I201"/>
  <c r="J200"/>
  <c r="I200"/>
  <c r="J199"/>
  <c r="I199"/>
  <c r="J198"/>
  <c r="I198"/>
  <c r="J197"/>
  <c r="I197"/>
  <c r="J196"/>
  <c r="I196"/>
  <c r="J195"/>
  <c r="I195"/>
  <c r="E227"/>
  <c r="D227"/>
  <c r="C227"/>
  <c r="B227"/>
  <c r="E226"/>
  <c r="D226"/>
  <c r="C226"/>
  <c r="B226"/>
  <c r="E225"/>
  <c r="D225"/>
  <c r="C225"/>
  <c r="B225"/>
  <c r="E224"/>
  <c r="D224"/>
  <c r="C224"/>
  <c r="B224"/>
  <c r="E223"/>
  <c r="D223"/>
  <c r="C223"/>
  <c r="B223"/>
  <c r="E222"/>
  <c r="D222"/>
  <c r="C222"/>
  <c r="B222"/>
  <c r="E221"/>
  <c r="D221"/>
  <c r="C221"/>
  <c r="B221"/>
  <c r="E220"/>
  <c r="D220"/>
  <c r="C220"/>
  <c r="B220"/>
  <c r="E219"/>
  <c r="D219"/>
  <c r="C219"/>
  <c r="B219"/>
  <c r="E218"/>
  <c r="D218"/>
  <c r="C218"/>
  <c r="B218"/>
  <c r="E217"/>
  <c r="D217"/>
  <c r="C217"/>
  <c r="B217"/>
  <c r="E216"/>
  <c r="D216"/>
  <c r="C216"/>
  <c r="B216"/>
  <c r="E215"/>
  <c r="D215"/>
  <c r="C215"/>
  <c r="B215"/>
  <c r="E214"/>
  <c r="D214"/>
  <c r="C214"/>
  <c r="B214"/>
  <c r="E213"/>
  <c r="D213"/>
  <c r="C213"/>
  <c r="B213"/>
  <c r="E212"/>
  <c r="D212"/>
  <c r="C212"/>
  <c r="B212"/>
  <c r="E211"/>
  <c r="D211"/>
  <c r="C211"/>
  <c r="B211"/>
  <c r="E210"/>
  <c r="D210"/>
  <c r="C210"/>
  <c r="B210"/>
  <c r="E209"/>
  <c r="D209"/>
  <c r="C209"/>
  <c r="B209"/>
  <c r="E208"/>
  <c r="D208"/>
  <c r="C208"/>
  <c r="B208"/>
  <c r="E207"/>
  <c r="D207"/>
  <c r="C207"/>
  <c r="B207"/>
  <c r="E206"/>
  <c r="D206"/>
  <c r="C206"/>
  <c r="B206"/>
  <c r="E205"/>
  <c r="D205"/>
  <c r="C205"/>
  <c r="B205"/>
  <c r="E204"/>
  <c r="D204"/>
  <c r="C204"/>
  <c r="B204"/>
  <c r="E203"/>
  <c r="D203"/>
  <c r="C203"/>
  <c r="B203"/>
  <c r="E202"/>
  <c r="D202"/>
  <c r="C202"/>
  <c r="B202"/>
  <c r="E201"/>
  <c r="D201"/>
  <c r="C201"/>
  <c r="B201"/>
  <c r="E200"/>
  <c r="D200"/>
  <c r="C200"/>
  <c r="B200"/>
  <c r="E199"/>
  <c r="D199"/>
  <c r="C199"/>
  <c r="B199"/>
  <c r="E198"/>
  <c r="D198"/>
  <c r="C198"/>
  <c r="B198"/>
  <c r="E197"/>
  <c r="D197"/>
  <c r="C197"/>
  <c r="B197"/>
  <c r="E196"/>
  <c r="D196"/>
  <c r="C196"/>
  <c r="B196"/>
  <c r="E195"/>
  <c r="D195"/>
  <c r="C195"/>
  <c r="B195"/>
  <c r="F188"/>
  <c r="J183"/>
  <c r="I183"/>
  <c r="J182"/>
  <c r="I182"/>
  <c r="J180"/>
  <c r="I180"/>
  <c r="J179"/>
  <c r="I179"/>
  <c r="J177"/>
  <c r="I177"/>
  <c r="J176"/>
  <c r="I176"/>
  <c r="J174"/>
  <c r="I174"/>
  <c r="J173"/>
  <c r="I173"/>
  <c r="J171"/>
  <c r="I171"/>
  <c r="J170"/>
  <c r="I170"/>
  <c r="J168"/>
  <c r="I168"/>
  <c r="J167"/>
  <c r="I167"/>
  <c r="J165"/>
  <c r="I165"/>
  <c r="J164"/>
  <c r="I164"/>
  <c r="J162"/>
  <c r="I162"/>
  <c r="J161"/>
  <c r="I161"/>
  <c r="J159"/>
  <c r="I159"/>
  <c r="J158"/>
  <c r="I158"/>
  <c r="J156"/>
  <c r="I156"/>
  <c r="J155"/>
  <c r="I155"/>
  <c r="J153"/>
  <c r="I153"/>
  <c r="J152"/>
  <c r="I152"/>
  <c r="J151"/>
  <c r="I151"/>
  <c r="J149"/>
  <c r="I149"/>
  <c r="J148"/>
  <c r="I148"/>
  <c r="J146"/>
  <c r="I146"/>
  <c r="J145"/>
  <c r="I145"/>
  <c r="J143"/>
  <c r="I143"/>
  <c r="J142"/>
  <c r="I142"/>
  <c r="J140"/>
  <c r="I140"/>
  <c r="J139"/>
  <c r="I139"/>
  <c r="J137"/>
  <c r="I137"/>
  <c r="J136"/>
  <c r="I136"/>
  <c r="J135"/>
  <c r="I135"/>
  <c r="J134"/>
  <c r="I134"/>
  <c r="J133"/>
  <c r="I133"/>
  <c r="J132"/>
  <c r="I132"/>
  <c r="J130"/>
  <c r="I130"/>
  <c r="J129"/>
  <c r="I129"/>
  <c r="J128"/>
  <c r="I128"/>
  <c r="J127"/>
  <c r="I127"/>
  <c r="J126"/>
  <c r="I126"/>
  <c r="J125"/>
  <c r="I125"/>
  <c r="J123"/>
  <c r="I123"/>
  <c r="J122"/>
  <c r="I122"/>
  <c r="J121"/>
  <c r="I121"/>
  <c r="J120"/>
  <c r="I120"/>
  <c r="J119"/>
  <c r="I119"/>
  <c r="J118"/>
  <c r="I118"/>
  <c r="J117"/>
  <c r="I117"/>
  <c r="J116"/>
  <c r="I116"/>
  <c r="J115"/>
  <c r="I115"/>
  <c r="J113"/>
  <c r="I113"/>
  <c r="J112"/>
  <c r="I112"/>
  <c r="J111"/>
  <c r="I111"/>
  <c r="J110"/>
  <c r="I110"/>
  <c r="J109"/>
  <c r="I109"/>
  <c r="J108"/>
  <c r="I108"/>
  <c r="J107"/>
  <c r="I107"/>
  <c r="J106"/>
  <c r="I106"/>
  <c r="J105"/>
  <c r="I105"/>
  <c r="E137"/>
  <c r="D137"/>
  <c r="C137"/>
  <c r="B137"/>
  <c r="E136"/>
  <c r="D136"/>
  <c r="C136"/>
  <c r="B136"/>
  <c r="E135"/>
  <c r="D135"/>
  <c r="C135"/>
  <c r="B135"/>
  <c r="E134"/>
  <c r="D134"/>
  <c r="C134"/>
  <c r="B134"/>
  <c r="E133"/>
  <c r="D133"/>
  <c r="C133"/>
  <c r="B133"/>
  <c r="E132"/>
  <c r="D132"/>
  <c r="C132"/>
  <c r="B132"/>
  <c r="E131"/>
  <c r="D131"/>
  <c r="C131"/>
  <c r="B131"/>
  <c r="E130"/>
  <c r="D130"/>
  <c r="C130"/>
  <c r="B130"/>
  <c r="E129"/>
  <c r="D129"/>
  <c r="C129"/>
  <c r="B129"/>
  <c r="E128"/>
  <c r="D128"/>
  <c r="C128"/>
  <c r="B128"/>
  <c r="E127"/>
  <c r="D127"/>
  <c r="C127"/>
  <c r="B127"/>
  <c r="E126"/>
  <c r="D126"/>
  <c r="C126"/>
  <c r="B126"/>
  <c r="E125"/>
  <c r="D125"/>
  <c r="C125"/>
  <c r="B125"/>
  <c r="E124"/>
  <c r="D124"/>
  <c r="C124"/>
  <c r="B124"/>
  <c r="E123"/>
  <c r="D123"/>
  <c r="C123"/>
  <c r="B123"/>
  <c r="E122"/>
  <c r="D122"/>
  <c r="C122"/>
  <c r="B122"/>
  <c r="E121"/>
  <c r="D121"/>
  <c r="C121"/>
  <c r="B121"/>
  <c r="E120"/>
  <c r="D120"/>
  <c r="C120"/>
  <c r="B120"/>
  <c r="E119"/>
  <c r="D119"/>
  <c r="C119"/>
  <c r="B119"/>
  <c r="E118"/>
  <c r="D118"/>
  <c r="C118"/>
  <c r="B118"/>
  <c r="E117"/>
  <c r="D117"/>
  <c r="C117"/>
  <c r="B117"/>
  <c r="E116"/>
  <c r="D116"/>
  <c r="C116"/>
  <c r="B116"/>
  <c r="E115"/>
  <c r="D115"/>
  <c r="C115"/>
  <c r="B115"/>
  <c r="E114"/>
  <c r="D114"/>
  <c r="C114"/>
  <c r="B114"/>
  <c r="E113"/>
  <c r="D113"/>
  <c r="C113"/>
  <c r="B113"/>
  <c r="E112"/>
  <c r="D112"/>
  <c r="C112"/>
  <c r="B112"/>
  <c r="E111"/>
  <c r="D111"/>
  <c r="C111"/>
  <c r="B111"/>
  <c r="E110"/>
  <c r="D110"/>
  <c r="C110"/>
  <c r="B110"/>
  <c r="E109"/>
  <c r="D109"/>
  <c r="C109"/>
  <c r="B109"/>
  <c r="E108"/>
  <c r="D108"/>
  <c r="C108"/>
  <c r="B108"/>
  <c r="E107"/>
  <c r="D107"/>
  <c r="C107"/>
  <c r="B107"/>
  <c r="E106"/>
  <c r="D106"/>
  <c r="C106"/>
  <c r="B106"/>
  <c r="E105"/>
  <c r="D105"/>
  <c r="C105"/>
  <c r="B105"/>
  <c r="E101"/>
  <c r="D101"/>
  <c r="C101"/>
  <c r="B101"/>
  <c r="E100"/>
  <c r="D100"/>
  <c r="C100"/>
  <c r="B100"/>
  <c r="E99"/>
  <c r="D99"/>
  <c r="C99"/>
  <c r="B99"/>
  <c r="E98"/>
  <c r="D98"/>
  <c r="C98"/>
  <c r="B98"/>
  <c r="V83"/>
  <c r="U83"/>
  <c r="V82"/>
  <c r="U82"/>
  <c r="V80"/>
  <c r="U80"/>
  <c r="V79"/>
  <c r="U79"/>
  <c r="F88"/>
  <c r="V77"/>
  <c r="U77"/>
  <c r="M86"/>
  <c r="V76"/>
  <c r="U76"/>
  <c r="F85"/>
  <c r="V74"/>
  <c r="U74"/>
  <c r="V73"/>
  <c r="U73"/>
  <c r="V71"/>
  <c r="U71"/>
  <c r="V70"/>
  <c r="U70"/>
  <c r="F78"/>
  <c r="V68"/>
  <c r="U68"/>
  <c r="V67"/>
  <c r="U67"/>
  <c r="V65"/>
  <c r="U65"/>
  <c r="V64"/>
  <c r="U64"/>
  <c r="V62"/>
  <c r="U62"/>
  <c r="V61"/>
  <c r="U61"/>
  <c r="V59"/>
  <c r="U59"/>
  <c r="V58"/>
  <c r="U58"/>
  <c r="V56"/>
  <c r="U56"/>
  <c r="V55"/>
  <c r="U55"/>
  <c r="V53"/>
  <c r="U53"/>
  <c r="V52"/>
  <c r="U52"/>
  <c r="V51"/>
  <c r="U51"/>
  <c r="V49"/>
  <c r="U49"/>
  <c r="V48"/>
  <c r="U48"/>
  <c r="V46"/>
  <c r="U46"/>
  <c r="V45"/>
  <c r="U45"/>
  <c r="V43"/>
  <c r="U43"/>
  <c r="V42"/>
  <c r="U42"/>
  <c r="V40"/>
  <c r="U40"/>
  <c r="V39"/>
  <c r="U39"/>
  <c r="V37"/>
  <c r="U37"/>
  <c r="V36"/>
  <c r="U36"/>
  <c r="V35"/>
  <c r="U35"/>
  <c r="V34"/>
  <c r="U34"/>
  <c r="V33"/>
  <c r="U33"/>
  <c r="V32"/>
  <c r="U32"/>
  <c r="V30"/>
  <c r="U30"/>
  <c r="V29"/>
  <c r="U29"/>
  <c r="V28"/>
  <c r="U28"/>
  <c r="V27"/>
  <c r="U27"/>
  <c r="V26"/>
  <c r="U26"/>
  <c r="V25"/>
  <c r="U25"/>
  <c r="V23"/>
  <c r="U23"/>
  <c r="V22"/>
  <c r="U22"/>
  <c r="V21"/>
  <c r="U21"/>
  <c r="V20"/>
  <c r="U20"/>
  <c r="V19"/>
  <c r="U19"/>
  <c r="V18"/>
  <c r="U18"/>
  <c r="V17"/>
  <c r="U17"/>
  <c r="V16"/>
  <c r="U16"/>
  <c r="V15"/>
  <c r="U15"/>
  <c r="V13"/>
  <c r="U13"/>
  <c r="V12"/>
  <c r="U12"/>
  <c r="V11"/>
  <c r="U11"/>
  <c r="V10"/>
  <c r="U10"/>
  <c r="V9"/>
  <c r="U9"/>
  <c r="V8"/>
  <c r="U8"/>
  <c r="V7"/>
  <c r="U7"/>
  <c r="V6"/>
  <c r="U6"/>
  <c r="V5"/>
  <c r="U5"/>
</calcChain>
</file>

<file path=xl/sharedStrings.xml><?xml version="1.0" encoding="utf-8"?>
<sst xmlns="http://schemas.openxmlformats.org/spreadsheetml/2006/main" count="437" uniqueCount="67">
  <si>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</si>
  <si>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</si>
  <si>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</si>
  <si>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</si>
  <si>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</si>
  <si>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</si>
  <si>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</si>
  <si>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</si>
  <si>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</si>
  <si>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</si>
  <si>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</si>
  <si>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</si>
  <si>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</si>
  <si>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</si>
  <si>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</si>
  <si>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</si>
  <si>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</si>
  <si>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</si>
  <si>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</si>
  <si>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</si>
  <si>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</si>
  <si>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</si>
  <si>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</si>
  <si>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</si>
  <si>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</si>
  <si>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</si>
  <si>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</si>
  <si>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</si>
  <si>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</si>
  <si>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</si>
  <si>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</si>
  <si>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</si>
  <si>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</si>
  <si>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</si>
  <si>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</si>
  <si>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</si>
  <si>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</si>
  <si>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</si>
  <si>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</si>
  <si>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</si>
  <si>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length</t>
  </si>
  <si>
    <t>Step 3:  Compute n</t>
  </si>
  <si>
    <t>Step 2:</t>
  </si>
  <si>
    <t>Template for Comp 4560 Laboratory Assignment 6 (200910)</t>
  </si>
  <si>
    <t>Sean Connery, Set Z</t>
  </si>
  <si>
    <t>alpha</t>
  </si>
  <si>
    <t>Asgn62009AStudenttemplate.xlsm</t>
  </si>
  <si>
    <t>Asgn62009AStudenttemplatenew.xlsm</t>
  </si>
  <si>
    <t>Steffen L. Norgren - A00683006 - Set F</t>
  </si>
  <si>
    <t>Norgren.Steffen.SetF.xlsm</t>
  </si>
  <si>
    <t>n=</t>
  </si>
  <si>
    <t>vp=</t>
  </si>
  <si>
    <t>Step 4:  Compute vp</t>
  </si>
  <si>
    <t>v=</t>
  </si>
  <si>
    <t>Step 5:  Compute u</t>
  </si>
  <si>
    <t>u=</t>
  </si>
  <si>
    <t>Step 6: Compute Awv</t>
  </si>
  <si>
    <t>Tr=</t>
  </si>
  <si>
    <t>Mt=</t>
  </si>
  <si>
    <t>Awv=</t>
  </si>
  <si>
    <t>Step 7: Compute Xuvn</t>
  </si>
  <si>
    <t>Step 9:  Perspective View</t>
  </si>
  <si>
    <t>P=</t>
  </si>
  <si>
    <t>e=</t>
  </si>
  <si>
    <t>Step 10:</t>
  </si>
  <si>
    <t>Step 8: Chart</t>
  </si>
  <si>
    <t>Spent far too long without success on this part. =(</t>
  </si>
</sst>
</file>

<file path=xl/styles.xml><?xml version="1.0" encoding="utf-8"?>
<styleSheet xmlns="http://schemas.openxmlformats.org/spreadsheetml/2006/main">
  <fonts count="15">
    <font>
      <sz val="10"/>
      <name val="Arial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</font>
    <font>
      <sz val="10"/>
      <color indexed="10"/>
      <name val="Arial"/>
      <family val="2"/>
    </font>
    <font>
      <sz val="18"/>
      <color indexed="10"/>
      <name val="Arial"/>
      <family val="2"/>
    </font>
    <font>
      <sz val="10"/>
      <color indexed="9"/>
      <name val="Arial"/>
      <family val="2"/>
    </font>
    <font>
      <sz val="10"/>
      <color indexed="9"/>
      <name val="Arial"/>
      <family val="2"/>
    </font>
    <font>
      <sz val="10"/>
      <color indexed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1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3" fillId="0" borderId="1" xfId="0" applyFont="1" applyBorder="1"/>
    <xf numFmtId="0" fontId="3" fillId="0" borderId="10" xfId="0" applyFont="1" applyBorder="1" applyAlignment="1">
      <alignment horizontal="right"/>
    </xf>
    <xf numFmtId="0" fontId="5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6" fillId="0" borderId="9" xfId="0" applyFont="1" applyFill="1" applyBorder="1" applyAlignment="1">
      <alignment horizontal="right"/>
    </xf>
    <xf numFmtId="0" fontId="6" fillId="0" borderId="5" xfId="0" applyFont="1" applyFill="1" applyBorder="1" applyAlignment="1">
      <alignment horizontal="right"/>
    </xf>
    <xf numFmtId="0" fontId="6" fillId="0" borderId="6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22" fontId="8" fillId="0" borderId="0" xfId="0" applyNumberFormat="1" applyFont="1"/>
    <xf numFmtId="0" fontId="8" fillId="0" borderId="0" xfId="0" applyFont="1"/>
    <xf numFmtId="0" fontId="0" fillId="3" borderId="0" xfId="0" applyFill="1"/>
    <xf numFmtId="0" fontId="0" fillId="3" borderId="1" xfId="0" applyFill="1" applyBorder="1"/>
    <xf numFmtId="0" fontId="0" fillId="0" borderId="0" xfId="0" applyFill="1"/>
    <xf numFmtId="0" fontId="3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0" fontId="11" fillId="0" borderId="0" xfId="0" applyFont="1"/>
    <xf numFmtId="22" fontId="12" fillId="0" borderId="0" xfId="0" applyNumberFormat="1" applyFont="1"/>
    <xf numFmtId="0" fontId="12" fillId="0" borderId="0" xfId="0" applyFont="1"/>
    <xf numFmtId="22" fontId="13" fillId="0" borderId="0" xfId="0" applyNumberFormat="1" applyFont="1"/>
    <xf numFmtId="0" fontId="13" fillId="0" borderId="0" xfId="0" applyFont="1"/>
    <xf numFmtId="0" fontId="0" fillId="0" borderId="0" xfId="0" quotePrefix="1"/>
    <xf numFmtId="22" fontId="14" fillId="0" borderId="0" xfId="0" applyNumberFormat="1" applyFont="1"/>
    <xf numFmtId="0" fontId="14" fillId="0" borderId="0" xfId="0" applyFont="1"/>
    <xf numFmtId="0" fontId="9" fillId="0" borderId="0" xfId="0" applyFont="1" applyAlignment="1">
      <alignment horizontal="center"/>
    </xf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Fill="1" applyBorder="1"/>
    <xf numFmtId="0" fontId="9" fillId="0" borderId="0" xfId="0" applyFont="1" applyBorder="1"/>
    <xf numFmtId="0" fontId="9" fillId="0" borderId="0" xfId="0" applyFont="1" applyFill="1" applyBorder="1"/>
    <xf numFmtId="0" fontId="3" fillId="0" borderId="0" xfId="0" applyFont="1" applyFill="1" applyBorder="1"/>
    <xf numFmtId="0" fontId="3" fillId="0" borderId="0" xfId="0" applyFont="1" applyBorder="1"/>
  </cellXfs>
  <cellStyles count="1">
    <cellStyle name="Normal" xfId="0" builtinId="0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6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plotArea>
      <c:layout/>
      <c:scatterChart>
        <c:scatterStyle val="lineMarker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</c:ser>
        <c:axId val="480408072"/>
        <c:axId val="480305864"/>
      </c:scatterChart>
      <c:valAx>
        <c:axId val="480408072"/>
        <c:scaling>
          <c:orientation val="minMax"/>
          <c:max val="5.0"/>
          <c:min val="-5.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CA"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305864"/>
        <c:crosses val="autoZero"/>
        <c:crossBetween val="midCat"/>
      </c:valAx>
      <c:valAx>
        <c:axId val="480305864"/>
        <c:scaling>
          <c:orientation val="minMax"/>
          <c:max val="2.0"/>
          <c:min val="-2.0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CA"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408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01" r="0.750000000000001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plotArea>
      <c:layout/>
      <c:scatterChart>
        <c:scatterStyle val="lineMarker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1.0</c:v>
                </c:pt>
              </c:numCache>
            </c:numRef>
          </c:yVal>
        </c:ser>
        <c:axId val="480463016"/>
        <c:axId val="480466696"/>
      </c:scatterChart>
      <c:valAx>
        <c:axId val="480463016"/>
        <c:scaling>
          <c:orientation val="minMax"/>
          <c:max val="80.0"/>
          <c:min val="-80.0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CA"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466696"/>
        <c:crosses val="autoZero"/>
        <c:crossBetween val="midCat"/>
        <c:majorUnit val="40.0"/>
      </c:valAx>
      <c:valAx>
        <c:axId val="480466696"/>
        <c:scaling>
          <c:orientation val="minMax"/>
          <c:max val="40.0"/>
          <c:min val="-20.0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CA"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463016"/>
        <c:crosses val="autoZero"/>
        <c:crossBetween val="midCat"/>
        <c:majorUnit val="20.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01" r="0.750000000000001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"/>
  <c:chart>
    <c:title>
      <c:tx>
        <c:rich>
          <a:bodyPr/>
          <a:lstStyle/>
          <a:p>
            <a:pPr>
              <a:defRPr lang="en-CA"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"/>
          <c:y val="0.0361842105263158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8485287894437"/>
          <c:y val="0.240131964644526"/>
          <c:w val="0.772729559450639"/>
          <c:h val="0.694080062191712"/>
        </c:manualLayout>
      </c:layout>
      <c:scatterChart>
        <c:scatterStyle val="lineMarker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Main!$U$5:$U$83</c:f>
              <c:numCache>
                <c:formatCode>General</c:formatCode>
                <c:ptCount val="79"/>
                <c:pt idx="0">
                  <c:v>0.0</c:v>
                </c:pt>
                <c:pt idx="1">
                  <c:v>0.0</c:v>
                </c:pt>
                <c:pt idx="2">
                  <c:v>200.0</c:v>
                </c:pt>
                <c:pt idx="3">
                  <c:v>200.0</c:v>
                </c:pt>
                <c:pt idx="4">
                  <c:v>600.0</c:v>
                </c:pt>
                <c:pt idx="5">
                  <c:v>600.0</c:v>
                </c:pt>
                <c:pt idx="6">
                  <c:v>800.0</c:v>
                </c:pt>
                <c:pt idx="7">
                  <c:v>800.0</c:v>
                </c:pt>
                <c:pt idx="8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200.0</c:v>
                </c:pt>
                <c:pt idx="13">
                  <c:v>200.0</c:v>
                </c:pt>
                <c:pt idx="14">
                  <c:v>600.0</c:v>
                </c:pt>
                <c:pt idx="15">
                  <c:v>600.0</c:v>
                </c:pt>
                <c:pt idx="16">
                  <c:v>800.0</c:v>
                </c:pt>
                <c:pt idx="17">
                  <c:v>800.0</c:v>
                </c:pt>
                <c:pt idx="18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400.0</c:v>
                </c:pt>
                <c:pt idx="23">
                  <c:v>533.3333333333333</c:v>
                </c:pt>
                <c:pt idx="24">
                  <c:v>800.0</c:v>
                </c:pt>
                <c:pt idx="25">
                  <c:v>800.0</c:v>
                </c:pt>
                <c:pt idx="27">
                  <c:v>0.0</c:v>
                </c:pt>
                <c:pt idx="28">
                  <c:v>0.0</c:v>
                </c:pt>
                <c:pt idx="29">
                  <c:v>400.0</c:v>
                </c:pt>
                <c:pt idx="30">
                  <c:v>533.3333333333333</c:v>
                </c:pt>
                <c:pt idx="31">
                  <c:v>800.0</c:v>
                </c:pt>
                <c:pt idx="32">
                  <c:v>800.0</c:v>
                </c:pt>
                <c:pt idx="34">
                  <c:v>0.0</c:v>
                </c:pt>
                <c:pt idx="35">
                  <c:v>0.0</c:v>
                </c:pt>
                <c:pt idx="37">
                  <c:v>400.0</c:v>
                </c:pt>
                <c:pt idx="38">
                  <c:v>400.0</c:v>
                </c:pt>
                <c:pt idx="40">
                  <c:v>533.3333333333333</c:v>
                </c:pt>
                <c:pt idx="41">
                  <c:v>533.3333333333333</c:v>
                </c:pt>
                <c:pt idx="43">
                  <c:v>800.0</c:v>
                </c:pt>
                <c:pt idx="44">
                  <c:v>800.0</c:v>
                </c:pt>
                <c:pt idx="46">
                  <c:v>66.66666666666667</c:v>
                </c:pt>
                <c:pt idx="47">
                  <c:v>66.66666666666667</c:v>
                </c:pt>
                <c:pt idx="48">
                  <c:v>400.0</c:v>
                </c:pt>
                <c:pt idx="50">
                  <c:v>333.3333333333333</c:v>
                </c:pt>
                <c:pt idx="51">
                  <c:v>338.3333333333333</c:v>
                </c:pt>
                <c:pt idx="53">
                  <c:v>533.3333333333333</c:v>
                </c:pt>
                <c:pt idx="54">
                  <c:v>400.0</c:v>
                </c:pt>
                <c:pt idx="56">
                  <c:v>266.6666666666666</c:v>
                </c:pt>
                <c:pt idx="57">
                  <c:v>400.0</c:v>
                </c:pt>
                <c:pt idx="59">
                  <c:v>400.0</c:v>
                </c:pt>
                <c:pt idx="60">
                  <c:v>400.0</c:v>
                </c:pt>
                <c:pt idx="62">
                  <c:v>0.0</c:v>
                </c:pt>
                <c:pt idx="63">
                  <c:v>5.0</c:v>
                </c:pt>
                <c:pt idx="65">
                  <c:v>200.0</c:v>
                </c:pt>
                <c:pt idx="66">
                  <c:v>205.0</c:v>
                </c:pt>
                <c:pt idx="68">
                  <c:v>200.0</c:v>
                </c:pt>
                <c:pt idx="69">
                  <c:v>205.0</c:v>
                </c:pt>
                <c:pt idx="71">
                  <c:v>600.0</c:v>
                </c:pt>
                <c:pt idx="72">
                  <c:v>605.0</c:v>
                </c:pt>
                <c:pt idx="74">
                  <c:v>600.0</c:v>
                </c:pt>
                <c:pt idx="75">
                  <c:v>605.0</c:v>
                </c:pt>
                <c:pt idx="77">
                  <c:v>800.0</c:v>
                </c:pt>
                <c:pt idx="78">
                  <c:v>805.0</c:v>
                </c:pt>
              </c:numCache>
            </c:numRef>
          </c:xVal>
          <c:yVal>
            <c:numRef>
              <c:f>Main!$V$5:$V$83</c:f>
              <c:numCache>
                <c:formatCode>General</c:formatCode>
                <c:ptCount val="79"/>
                <c:pt idx="0">
                  <c:v>0.0</c:v>
                </c:pt>
                <c:pt idx="1">
                  <c:v>450.0</c:v>
                </c:pt>
                <c:pt idx="2">
                  <c:v>450.0</c:v>
                </c:pt>
                <c:pt idx="3">
                  <c:v>600.0</c:v>
                </c:pt>
                <c:pt idx="4">
                  <c:v>600.0</c:v>
                </c:pt>
                <c:pt idx="5">
                  <c:v>450.0</c:v>
                </c:pt>
                <c:pt idx="6">
                  <c:v>450.0</c:v>
                </c:pt>
                <c:pt idx="7">
                  <c:v>0.0</c:v>
                </c:pt>
                <c:pt idx="8">
                  <c:v>0.0</c:v>
                </c:pt>
                <c:pt idx="10">
                  <c:v>150.0</c:v>
                </c:pt>
                <c:pt idx="11">
                  <c:v>450.0</c:v>
                </c:pt>
                <c:pt idx="12">
                  <c:v>450.0</c:v>
                </c:pt>
                <c:pt idx="13">
                  <c:v>600.0</c:v>
                </c:pt>
                <c:pt idx="14">
                  <c:v>600.0</c:v>
                </c:pt>
                <c:pt idx="15">
                  <c:v>450.0</c:v>
                </c:pt>
                <c:pt idx="16">
                  <c:v>450.0</c:v>
                </c:pt>
                <c:pt idx="17">
                  <c:v>150.0</c:v>
                </c:pt>
                <c:pt idx="18">
                  <c:v>150.0</c:v>
                </c:pt>
                <c:pt idx="20">
                  <c:v>150.0</c:v>
                </c:pt>
                <c:pt idx="21">
                  <c:v>150.0</c:v>
                </c:pt>
                <c:pt idx="22">
                  <c:v>150.0</c:v>
                </c:pt>
                <c:pt idx="23">
                  <c:v>150.0</c:v>
                </c:pt>
                <c:pt idx="24">
                  <c:v>150.0</c:v>
                </c:pt>
                <c:pt idx="25">
                  <c:v>150.0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4">
                  <c:v>150.0</c:v>
                </c:pt>
                <c:pt idx="35">
                  <c:v>0.0</c:v>
                </c:pt>
                <c:pt idx="37">
                  <c:v>150.0</c:v>
                </c:pt>
                <c:pt idx="38">
                  <c:v>0.0</c:v>
                </c:pt>
                <c:pt idx="40">
                  <c:v>150.0</c:v>
                </c:pt>
                <c:pt idx="41">
                  <c:v>0.0</c:v>
                </c:pt>
                <c:pt idx="43">
                  <c:v>150.0</c:v>
                </c:pt>
                <c:pt idx="44">
                  <c:v>0.0</c:v>
                </c:pt>
                <c:pt idx="46">
                  <c:v>150.0</c:v>
                </c:pt>
                <c:pt idx="47">
                  <c:v>150.0</c:v>
                </c:pt>
                <c:pt idx="48">
                  <c:v>150.0</c:v>
                </c:pt>
                <c:pt idx="50">
                  <c:v>150.0</c:v>
                </c:pt>
                <c:pt idx="51">
                  <c:v>155.0</c:v>
                </c:pt>
                <c:pt idx="53">
                  <c:v>400.0</c:v>
                </c:pt>
                <c:pt idx="54">
                  <c:v>550.0</c:v>
                </c:pt>
                <c:pt idx="56">
                  <c:v>400.0</c:v>
                </c:pt>
                <c:pt idx="57">
                  <c:v>550.0</c:v>
                </c:pt>
                <c:pt idx="59">
                  <c:v>550.0</c:v>
                </c:pt>
                <c:pt idx="60">
                  <c:v>200.0</c:v>
                </c:pt>
                <c:pt idx="62">
                  <c:v>450.0</c:v>
                </c:pt>
                <c:pt idx="63">
                  <c:v>455.0</c:v>
                </c:pt>
                <c:pt idx="65">
                  <c:v>450.0</c:v>
                </c:pt>
                <c:pt idx="66">
                  <c:v>455.0</c:v>
                </c:pt>
                <c:pt idx="68">
                  <c:v>600.0</c:v>
                </c:pt>
                <c:pt idx="69">
                  <c:v>605.0</c:v>
                </c:pt>
                <c:pt idx="71">
                  <c:v>600.0</c:v>
                </c:pt>
                <c:pt idx="72">
                  <c:v>605.0</c:v>
                </c:pt>
                <c:pt idx="74">
                  <c:v>450.0</c:v>
                </c:pt>
                <c:pt idx="75">
                  <c:v>455.0</c:v>
                </c:pt>
                <c:pt idx="77">
                  <c:v>450.0</c:v>
                </c:pt>
                <c:pt idx="78">
                  <c:v>455.0</c:v>
                </c:pt>
              </c:numCache>
            </c:numRef>
          </c:yVal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903.4279574320568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1320.536983855485</c:v>
                </c:pt>
              </c:numCache>
            </c:numRef>
          </c:yVal>
        </c:ser>
        <c:axId val="480556456"/>
        <c:axId val="480568824"/>
      </c:scatterChart>
      <c:valAx>
        <c:axId val="480556456"/>
        <c:scaling>
          <c:orientation val="minMax"/>
          <c:max val="700.0"/>
          <c:min val="-700.0"/>
        </c:scaling>
        <c:axPos val="t"/>
        <c:title>
          <c:tx>
            <c:rich>
              <a:bodyPr/>
              <a:lstStyle/>
              <a:p>
                <a:pPr>
                  <a:defRPr lang="en-CA"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87881333015192"/>
              <c:y val="0.5986852465810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CA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568824"/>
        <c:crosses val="autoZero"/>
        <c:crossBetween val="midCat"/>
        <c:majorUnit val="200.0"/>
      </c:valAx>
      <c:valAx>
        <c:axId val="480568824"/>
        <c:scaling>
          <c:orientation val="maxMin"/>
          <c:max val="700.0"/>
          <c:min val="-700.0"/>
        </c:scaling>
        <c:axPos val="l"/>
        <c:title>
          <c:tx>
            <c:rich>
              <a:bodyPr rot="0" vert="horz"/>
              <a:lstStyle/>
              <a:p>
                <a:pPr algn="ctr">
                  <a:defRPr lang="en-CA"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0.536365227073889"/>
              <c:y val="0.8815803287746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CA"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0556456"/>
        <c:crosses val="autoZero"/>
        <c:crossBetween val="midCat"/>
        <c:majorUnit val="200.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01" r="0.750000000000001" t="1.0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"/>
  <c:chart>
    <c:plotArea>
      <c:layout>
        <c:manualLayout>
          <c:layoutTarget val="inner"/>
          <c:xMode val="edge"/>
          <c:yMode val="edge"/>
          <c:x val="0.0"/>
          <c:y val="0.0"/>
          <c:w val="1.0"/>
          <c:h val="1.0"/>
        </c:manualLayout>
      </c:layout>
      <c:scatterChart>
        <c:scatterStyle val="lineMarker"/>
        <c:ser>
          <c:idx val="0"/>
          <c:order val="0"/>
          <c:marker>
            <c:symbol val="none"/>
          </c:marker>
          <c:xVal>
            <c:numRef>
              <c:f>Main!$I$105:$I$183</c:f>
              <c:numCache>
                <c:formatCode>General</c:formatCode>
                <c:ptCount val="79"/>
                <c:pt idx="0">
                  <c:v>-34.03829594443743</c:v>
                </c:pt>
                <c:pt idx="1">
                  <c:v>-280.1687433122479</c:v>
                </c:pt>
                <c:pt idx="2">
                  <c:v>-112.7365441708117</c:v>
                </c:pt>
                <c:pt idx="3">
                  <c:v>-194.7800266267485</c:v>
                </c:pt>
                <c:pt idx="4">
                  <c:v>140.084371656124</c:v>
                </c:pt>
                <c:pt idx="5">
                  <c:v>222.1278541120608</c:v>
                </c:pt>
                <c:pt idx="6">
                  <c:v>389.5600532534971</c:v>
                </c:pt>
                <c:pt idx="7">
                  <c:v>635.6905006213075</c:v>
                </c:pt>
                <c:pt idx="8">
                  <c:v>-34.03829594443743</c:v>
                </c:pt>
                <c:pt idx="10">
                  <c:v>-116.0817784003743</c:v>
                </c:pt>
                <c:pt idx="11">
                  <c:v>-280.1687433122479</c:v>
                </c:pt>
                <c:pt idx="12">
                  <c:v>-112.7365441708117</c:v>
                </c:pt>
                <c:pt idx="13">
                  <c:v>-194.7800266267485</c:v>
                </c:pt>
                <c:pt idx="14">
                  <c:v>140.084371656124</c:v>
                </c:pt>
                <c:pt idx="15">
                  <c:v>222.1278541120608</c:v>
                </c:pt>
                <c:pt idx="16">
                  <c:v>389.5600532534971</c:v>
                </c:pt>
                <c:pt idx="17">
                  <c:v>553.6470181653708</c:v>
                </c:pt>
                <c:pt idx="18">
                  <c:v>-116.0817784003743</c:v>
                </c:pt>
                <c:pt idx="20">
                  <c:v>-116.0817784003743</c:v>
                </c:pt>
                <c:pt idx="21">
                  <c:v>-116.0817784003743</c:v>
                </c:pt>
                <c:pt idx="22">
                  <c:v>218.7826198824982</c:v>
                </c:pt>
                <c:pt idx="23">
                  <c:v>330.4040859767891</c:v>
                </c:pt>
                <c:pt idx="24">
                  <c:v>553.6470181653708</c:v>
                </c:pt>
                <c:pt idx="25">
                  <c:v>553.6470181653708</c:v>
                </c:pt>
                <c:pt idx="27">
                  <c:v>-34.03829594443743</c:v>
                </c:pt>
                <c:pt idx="28">
                  <c:v>-34.03829594443743</c:v>
                </c:pt>
                <c:pt idx="29">
                  <c:v>300.8261023384351</c:v>
                </c:pt>
                <c:pt idx="30">
                  <c:v>412.447568432726</c:v>
                </c:pt>
                <c:pt idx="31">
                  <c:v>635.6905006213075</c:v>
                </c:pt>
                <c:pt idx="32">
                  <c:v>635.6905006213075</c:v>
                </c:pt>
                <c:pt idx="34">
                  <c:v>-116.0817784003743</c:v>
                </c:pt>
                <c:pt idx="35">
                  <c:v>-34.03829594443743</c:v>
                </c:pt>
                <c:pt idx="37">
                  <c:v>218.7826198824982</c:v>
                </c:pt>
                <c:pt idx="38">
                  <c:v>300.8261023384351</c:v>
                </c:pt>
                <c:pt idx="40">
                  <c:v>330.4040859767891</c:v>
                </c:pt>
                <c:pt idx="41">
                  <c:v>412.447568432726</c:v>
                </c:pt>
                <c:pt idx="43">
                  <c:v>553.6470181653708</c:v>
                </c:pt>
                <c:pt idx="44">
                  <c:v>635.6905006213075</c:v>
                </c:pt>
                <c:pt idx="46">
                  <c:v>-60.27104535322884</c:v>
                </c:pt>
                <c:pt idx="47">
                  <c:v>-60.27104535322884</c:v>
                </c:pt>
                <c:pt idx="48">
                  <c:v>218.7826198824982</c:v>
                </c:pt>
                <c:pt idx="50">
                  <c:v>162.9718868353528</c:v>
                </c:pt>
                <c:pt idx="51">
                  <c:v>162.9718868353528</c:v>
                </c:pt>
                <c:pt idx="53">
                  <c:v>193.6649485502277</c:v>
                </c:pt>
                <c:pt idx="54">
                  <c:v>5.6843418860808E-14</c:v>
                </c:pt>
                <c:pt idx="56">
                  <c:v>-29.57798363835397</c:v>
                </c:pt>
                <c:pt idx="57">
                  <c:v>5.6843418860808E-14</c:v>
                </c:pt>
                <c:pt idx="59">
                  <c:v>5.6843418860808E-14</c:v>
                </c:pt>
                <c:pt idx="60">
                  <c:v>191.434792397186</c:v>
                </c:pt>
                <c:pt idx="62">
                  <c:v>-280.1687433122479</c:v>
                </c:pt>
                <c:pt idx="63">
                  <c:v>-280.1687433122479</c:v>
                </c:pt>
                <c:pt idx="65">
                  <c:v>-112.7365441708117</c:v>
                </c:pt>
                <c:pt idx="66">
                  <c:v>-112.7365441708117</c:v>
                </c:pt>
                <c:pt idx="68">
                  <c:v>-194.7800266267485</c:v>
                </c:pt>
                <c:pt idx="69">
                  <c:v>-194.7800266267485</c:v>
                </c:pt>
                <c:pt idx="71">
                  <c:v>140.084371656124</c:v>
                </c:pt>
                <c:pt idx="72">
                  <c:v>140.084371656124</c:v>
                </c:pt>
                <c:pt idx="74">
                  <c:v>222.1278541120608</c:v>
                </c:pt>
                <c:pt idx="75">
                  <c:v>222.1278541120608</c:v>
                </c:pt>
                <c:pt idx="77">
                  <c:v>389.5600532534971</c:v>
                </c:pt>
                <c:pt idx="78">
                  <c:v>389.5600532534971</c:v>
                </c:pt>
              </c:numCache>
            </c:numRef>
          </c:xVal>
          <c:yVal>
            <c:numRef>
              <c:f>Main!$J$105:$J$183</c:f>
              <c:numCache>
                <c:formatCode>General</c:formatCode>
                <c:ptCount val="79"/>
                <c:pt idx="0">
                  <c:v>236.3522535759543</c:v>
                </c:pt>
                <c:pt idx="1">
                  <c:v>56.52515169691878</c:v>
                </c:pt>
                <c:pt idx="2">
                  <c:v>4.307604432723735</c:v>
                </c:pt>
                <c:pt idx="3">
                  <c:v>-55.63476286028805</c:v>
                </c:pt>
                <c:pt idx="4">
                  <c:v>-160.0698573886781</c:v>
                </c:pt>
                <c:pt idx="5">
                  <c:v>-100.1274900956663</c:v>
                </c:pt>
                <c:pt idx="6">
                  <c:v>-152.3450373598614</c:v>
                </c:pt>
                <c:pt idx="7">
                  <c:v>27.48206451917409</c:v>
                </c:pt>
                <c:pt idx="8">
                  <c:v>236.3522535759543</c:v>
                </c:pt>
                <c:pt idx="10">
                  <c:v>264.2814073097547</c:v>
                </c:pt>
                <c:pt idx="11">
                  <c:v>144.3966727237311</c:v>
                </c:pt>
                <c:pt idx="12">
                  <c:v>92.17912545953607</c:v>
                </c:pt>
                <c:pt idx="13">
                  <c:v>32.23675816652428</c:v>
                </c:pt>
                <c:pt idx="14">
                  <c:v>-72.19833636186581</c:v>
                </c:pt>
                <c:pt idx="15">
                  <c:v>-12.25596906885397</c:v>
                </c:pt>
                <c:pt idx="16">
                  <c:v>-64.47351633304908</c:v>
                </c:pt>
                <c:pt idx="17">
                  <c:v>55.41121825297461</c:v>
                </c:pt>
                <c:pt idx="18">
                  <c:v>264.2814073097547</c:v>
                </c:pt>
                <c:pt idx="20">
                  <c:v>264.2814073097547</c:v>
                </c:pt>
                <c:pt idx="21">
                  <c:v>440.0244493633794</c:v>
                </c:pt>
                <c:pt idx="22">
                  <c:v>335.5893548349893</c:v>
                </c:pt>
                <c:pt idx="23">
                  <c:v>190.9382553753439</c:v>
                </c:pt>
                <c:pt idx="24">
                  <c:v>121.3148590230838</c:v>
                </c:pt>
                <c:pt idx="25">
                  <c:v>55.41121825297461</c:v>
                </c:pt>
                <c:pt idx="27">
                  <c:v>236.3522535759543</c:v>
                </c:pt>
                <c:pt idx="28">
                  <c:v>499.9668166563912</c:v>
                </c:pt>
                <c:pt idx="29">
                  <c:v>395.5317221280011</c:v>
                </c:pt>
                <c:pt idx="30">
                  <c:v>250.8806226683557</c:v>
                </c:pt>
                <c:pt idx="31">
                  <c:v>181.2572263160956</c:v>
                </c:pt>
                <c:pt idx="32">
                  <c:v>27.48206451917409</c:v>
                </c:pt>
                <c:pt idx="34">
                  <c:v>440.0244493633794</c:v>
                </c:pt>
                <c:pt idx="35">
                  <c:v>499.9668166563912</c:v>
                </c:pt>
                <c:pt idx="37">
                  <c:v>335.5893548349893</c:v>
                </c:pt>
                <c:pt idx="38">
                  <c:v>395.5317221280011</c:v>
                </c:pt>
                <c:pt idx="40">
                  <c:v>190.9382553753439</c:v>
                </c:pt>
                <c:pt idx="41">
                  <c:v>250.8806226683557</c:v>
                </c:pt>
                <c:pt idx="43">
                  <c:v>121.3148590230838</c:v>
                </c:pt>
                <c:pt idx="44">
                  <c:v>181.2572263160956</c:v>
                </c:pt>
                <c:pt idx="46">
                  <c:v>400.6507200186113</c:v>
                </c:pt>
                <c:pt idx="47">
                  <c:v>312.779198991799</c:v>
                </c:pt>
                <c:pt idx="48">
                  <c:v>225.7499535514739</c:v>
                </c:pt>
                <c:pt idx="50">
                  <c:v>331.0273236663512</c:v>
                </c:pt>
                <c:pt idx="51">
                  <c:v>199.2200421261328</c:v>
                </c:pt>
                <c:pt idx="53">
                  <c:v>25.13066911688162</c:v>
                </c:pt>
                <c:pt idx="54">
                  <c:v>-1.70530256582424E-13</c:v>
                </c:pt>
                <c:pt idx="56">
                  <c:v>94.75406546914166</c:v>
                </c:pt>
                <c:pt idx="57">
                  <c:v>-1.70530256582424E-13</c:v>
                </c:pt>
                <c:pt idx="59">
                  <c:v>-1.70530256582424E-13</c:v>
                </c:pt>
                <c:pt idx="60">
                  <c:v>139.8655236836941</c:v>
                </c:pt>
                <c:pt idx="62">
                  <c:v>144.3966727237311</c:v>
                </c:pt>
                <c:pt idx="63">
                  <c:v>56.52515169691878</c:v>
                </c:pt>
                <c:pt idx="65">
                  <c:v>92.17912545953607</c:v>
                </c:pt>
                <c:pt idx="66">
                  <c:v>4.307604432723735</c:v>
                </c:pt>
                <c:pt idx="68">
                  <c:v>32.23675816652428</c:v>
                </c:pt>
                <c:pt idx="69">
                  <c:v>-55.63476286028805</c:v>
                </c:pt>
                <c:pt idx="71">
                  <c:v>-72.19833636186581</c:v>
                </c:pt>
                <c:pt idx="72">
                  <c:v>-160.0698573886781</c:v>
                </c:pt>
                <c:pt idx="74">
                  <c:v>-12.25596906885397</c:v>
                </c:pt>
                <c:pt idx="75">
                  <c:v>-100.1274900956663</c:v>
                </c:pt>
                <c:pt idx="77">
                  <c:v>-64.47351633304908</c:v>
                </c:pt>
                <c:pt idx="78">
                  <c:v>-152.3450373598614</c:v>
                </c:pt>
              </c:numCache>
            </c:numRef>
          </c:yVal>
        </c:ser>
        <c:axId val="480582968"/>
        <c:axId val="480586008"/>
      </c:scatterChart>
      <c:valAx>
        <c:axId val="480582968"/>
        <c:scaling>
          <c:orientation val="minMax"/>
        </c:scaling>
        <c:delete val="1"/>
        <c:axPos val="b"/>
        <c:numFmt formatCode="General" sourceLinked="1"/>
        <c:tickLblPos val="nextTo"/>
        <c:crossAx val="480586008"/>
        <c:crosses val="autoZero"/>
        <c:crossBetween val="midCat"/>
      </c:valAx>
      <c:valAx>
        <c:axId val="480586008"/>
        <c:scaling>
          <c:orientation val="minMax"/>
        </c:scaling>
        <c:delete val="1"/>
        <c:axPos val="l"/>
        <c:numFmt formatCode="General" sourceLinked="1"/>
        <c:tickLblPos val="nextTo"/>
        <c:crossAx val="480582968"/>
        <c:crosses val="autoZero"/>
        <c:crossBetween val="midCat"/>
        <c:majorUnit val="200.0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"/>
  <c:chart>
    <c:plotArea>
      <c:layout>
        <c:manualLayout>
          <c:layoutTarget val="inner"/>
          <c:xMode val="edge"/>
          <c:yMode val="edge"/>
          <c:x val="0.0"/>
          <c:y val="0.0"/>
          <c:w val="1.0"/>
          <c:h val="1.0"/>
        </c:manualLayout>
      </c:layout>
      <c:scatterChart>
        <c:scatterStyle val="lineMarker"/>
        <c:ser>
          <c:idx val="0"/>
          <c:order val="0"/>
          <c:marker>
            <c:symbol val="none"/>
          </c:marker>
          <c:xVal>
            <c:numRef>
              <c:f>Main!$C$230:$C$308</c:f>
              <c:numCache>
                <c:formatCode>General</c:formatCode>
                <c:ptCount val="79"/>
                <c:pt idx="0">
                  <c:v>-0.199985994656838</c:v>
                </c:pt>
                <c:pt idx="1">
                  <c:v>-2.04353235288407</c:v>
                </c:pt>
                <c:pt idx="2">
                  <c:v>-0.884292504619198</c:v>
                </c:pt>
                <c:pt idx="3">
                  <c:v>-1.672599856805969</c:v>
                </c:pt>
                <c:pt idx="4">
                  <c:v>1.440771972734284</c:v>
                </c:pt>
                <c:pt idx="5">
                  <c:v>2.051741468997372</c:v>
                </c:pt>
                <c:pt idx="6">
                  <c:v>3.948882775287392</c:v>
                </c:pt>
                <c:pt idx="7">
                  <c:v>4.824833417446042</c:v>
                </c:pt>
                <c:pt idx="8">
                  <c:v>-0.199985994656838</c:v>
                </c:pt>
                <c:pt idx="10">
                  <c:v>-0.751846692550828</c:v>
                </c:pt>
                <c:pt idx="11">
                  <c:v>-2.117249324260173</c:v>
                </c:pt>
                <c:pt idx="12">
                  <c:v>-0.918690579259896</c:v>
                </c:pt>
                <c:pt idx="13">
                  <c:v>-1.744090687453256</c:v>
                </c:pt>
                <c:pt idx="14">
                  <c:v>1.515159039130122</c:v>
                </c:pt>
                <c:pt idx="15">
                  <c:v>2.146378149685452</c:v>
                </c:pt>
                <c:pt idx="16">
                  <c:v>4.149675322339317</c:v>
                </c:pt>
                <c:pt idx="17">
                  <c:v>4.775041166877064</c:v>
                </c:pt>
                <c:pt idx="18">
                  <c:v>-0.751846692550828</c:v>
                </c:pt>
                <c:pt idx="20">
                  <c:v>-0.751846692550828</c:v>
                </c:pt>
                <c:pt idx="21">
                  <c:v>-0.80140067779842</c:v>
                </c:pt>
                <c:pt idx="22">
                  <c:v>1.74156908566129</c:v>
                </c:pt>
                <c:pt idx="23">
                  <c:v>2.639380676970663</c:v>
                </c:pt>
                <c:pt idx="24">
                  <c:v>4.927179064171766</c:v>
                </c:pt>
                <c:pt idx="25">
                  <c:v>4.775041166877064</c:v>
                </c:pt>
                <c:pt idx="27">
                  <c:v>-0.199985994656838</c:v>
                </c:pt>
                <c:pt idx="28">
                  <c:v>-0.218357963857314</c:v>
                </c:pt>
                <c:pt idx="29">
                  <c:v>2.201302249028175</c:v>
                </c:pt>
                <c:pt idx="30">
                  <c:v>3.027875447850703</c:v>
                </c:pt>
                <c:pt idx="31">
                  <c:v>5.151449642329431</c:v>
                </c:pt>
                <c:pt idx="32">
                  <c:v>4.824833417446042</c:v>
                </c:pt>
                <c:pt idx="34">
                  <c:v>-0.80140067779842</c:v>
                </c:pt>
                <c:pt idx="35">
                  <c:v>-0.218357963857314</c:v>
                </c:pt>
                <c:pt idx="37">
                  <c:v>1.74156908566129</c:v>
                </c:pt>
                <c:pt idx="38">
                  <c:v>2.201302249028175</c:v>
                </c:pt>
                <c:pt idx="40">
                  <c:v>2.639380676970663</c:v>
                </c:pt>
                <c:pt idx="41">
                  <c:v>3.027875447850703</c:v>
                </c:pt>
                <c:pt idx="43">
                  <c:v>4.927179064171766</c:v>
                </c:pt>
                <c:pt idx="44">
                  <c:v>5.151449642329431</c:v>
                </c:pt>
                <c:pt idx="46">
                  <c:v>-0.421954289834535</c:v>
                </c:pt>
                <c:pt idx="47">
                  <c:v>-0.408309105922898</c:v>
                </c:pt>
                <c:pt idx="48">
                  <c:v>1.662599615760572</c:v>
                </c:pt>
                <c:pt idx="50">
                  <c:v>1.253424081372041</c:v>
                </c:pt>
                <c:pt idx="51">
                  <c:v>1.188001563082845</c:v>
                </c:pt>
                <c:pt idx="53">
                  <c:v>1.754658497460421</c:v>
                </c:pt>
                <c:pt idx="54">
                  <c:v>5.3754808676744E-16</c:v>
                </c:pt>
                <c:pt idx="56">
                  <c:v>-0.240103676639473</c:v>
                </c:pt>
                <c:pt idx="57">
                  <c:v>5.3754808676744E-16</c:v>
                </c:pt>
                <c:pt idx="59">
                  <c:v>5.3754808676744E-16</c:v>
                </c:pt>
                <c:pt idx="60">
                  <c:v>1.455859251190841</c:v>
                </c:pt>
                <c:pt idx="62">
                  <c:v>-2.117249324260173</c:v>
                </c:pt>
                <c:pt idx="63">
                  <c:v>-2.04353235288407</c:v>
                </c:pt>
                <c:pt idx="65">
                  <c:v>-0.918690579259896</c:v>
                </c:pt>
                <c:pt idx="66">
                  <c:v>-0.884292504619198</c:v>
                </c:pt>
                <c:pt idx="68">
                  <c:v>-1.744090687453256</c:v>
                </c:pt>
                <c:pt idx="69">
                  <c:v>-1.672599856805969</c:v>
                </c:pt>
                <c:pt idx="71">
                  <c:v>1.515159039130122</c:v>
                </c:pt>
                <c:pt idx="72">
                  <c:v>1.440771972734284</c:v>
                </c:pt>
                <c:pt idx="74">
                  <c:v>2.146378149685452</c:v>
                </c:pt>
                <c:pt idx="75">
                  <c:v>2.051741468997372</c:v>
                </c:pt>
                <c:pt idx="77">
                  <c:v>4.149675322339317</c:v>
                </c:pt>
                <c:pt idx="78">
                  <c:v>3.948882775287392</c:v>
                </c:pt>
              </c:numCache>
            </c:numRef>
          </c:xVal>
          <c:yVal>
            <c:numRef>
              <c:f>Main!$D$230:$D$308</c:f>
              <c:numCache>
                <c:formatCode>General</c:formatCode>
                <c:ptCount val="79"/>
                <c:pt idx="0">
                  <c:v>1.38864591217872</c:v>
                </c:pt>
                <c:pt idx="1">
                  <c:v>0.41229073193078</c:v>
                </c:pt>
                <c:pt idx="2">
                  <c:v>0.0337883544394494</c:v>
                </c:pt>
                <c:pt idx="3">
                  <c:v>-0.477742497550172</c:v>
                </c:pt>
                <c:pt idx="4">
                  <c:v>-1.646323294159553</c:v>
                </c:pt>
                <c:pt idx="5">
                  <c:v>-0.92485350131849</c:v>
                </c:pt>
                <c:pt idx="6">
                  <c:v>-1.544287431184322</c:v>
                </c:pt>
                <c:pt idx="7">
                  <c:v>0.208586384636742</c:v>
                </c:pt>
                <c:pt idx="8">
                  <c:v>1.38864591217872</c:v>
                </c:pt>
                <c:pt idx="10">
                  <c:v>1.711716556436532</c:v>
                </c:pt>
                <c:pt idx="11">
                  <c:v>1.091212938800272</c:v>
                </c:pt>
                <c:pt idx="12">
                  <c:v>0.751168086506036</c:v>
                </c:pt>
                <c:pt idx="13">
                  <c:v>0.288652952182093</c:v>
                </c:pt>
                <c:pt idx="14">
                  <c:v>-0.780900543405162</c:v>
                </c:pt>
                <c:pt idx="15">
                  <c:v>-0.118427039768447</c:v>
                </c:pt>
                <c:pt idx="16">
                  <c:v>-0.686785406864077</c:v>
                </c:pt>
                <c:pt idx="17">
                  <c:v>0.477905307142342</c:v>
                </c:pt>
                <c:pt idx="18">
                  <c:v>1.711716556436532</c:v>
                </c:pt>
                <c:pt idx="20">
                  <c:v>1.711716556436532</c:v>
                </c:pt>
                <c:pt idx="21">
                  <c:v>3.037822962630903</c:v>
                </c:pt>
                <c:pt idx="22">
                  <c:v>2.67138242595105</c:v>
                </c:pt>
                <c:pt idx="23">
                  <c:v>1.52527999235329</c:v>
                </c:pt>
                <c:pt idx="24">
                  <c:v>1.079641023864319</c:v>
                </c:pt>
                <c:pt idx="25">
                  <c:v>0.477905307142342</c:v>
                </c:pt>
                <c:pt idx="27">
                  <c:v>1.38864591217872</c:v>
                </c:pt>
                <c:pt idx="28">
                  <c:v>3.207320844131551</c:v>
                </c:pt>
                <c:pt idx="29">
                  <c:v>2.894312902750769</c:v>
                </c:pt>
                <c:pt idx="30">
                  <c:v>1.841774169273384</c:v>
                </c:pt>
                <c:pt idx="31">
                  <c:v>1.468855477253576</c:v>
                </c:pt>
                <c:pt idx="32">
                  <c:v>0.208586384636742</c:v>
                </c:pt>
                <c:pt idx="34">
                  <c:v>3.037822962630903</c:v>
                </c:pt>
                <c:pt idx="35">
                  <c:v>3.207320844131551</c:v>
                </c:pt>
                <c:pt idx="37">
                  <c:v>2.67138242595105</c:v>
                </c:pt>
                <c:pt idx="38">
                  <c:v>2.894312902750769</c:v>
                </c:pt>
                <c:pt idx="40">
                  <c:v>1.52527999235329</c:v>
                </c:pt>
                <c:pt idx="41">
                  <c:v>1.841774169273384</c:v>
                </c:pt>
                <c:pt idx="43">
                  <c:v>1.079641023864319</c:v>
                </c:pt>
                <c:pt idx="44">
                  <c:v>1.468855477253576</c:v>
                </c:pt>
                <c:pt idx="46">
                  <c:v>2.804933762909946</c:v>
                </c:pt>
                <c:pt idx="47">
                  <c:v>2.118937780872255</c:v>
                </c:pt>
                <c:pt idx="48">
                  <c:v>1.715546629043144</c:v>
                </c:pt>
                <c:pt idx="50">
                  <c:v>2.545945973459364</c:v>
                </c:pt>
                <c:pt idx="51">
                  <c:v>1.452236493293979</c:v>
                </c:pt>
                <c:pt idx="53">
                  <c:v>0.227690877687999</c:v>
                </c:pt>
                <c:pt idx="54">
                  <c:v>-1.61264426030232E-15</c:v>
                </c:pt>
                <c:pt idx="56">
                  <c:v>0.769180204230592</c:v>
                </c:pt>
                <c:pt idx="57">
                  <c:v>-1.61264426030232E-15</c:v>
                </c:pt>
                <c:pt idx="59">
                  <c:v>-1.61264426030232E-15</c:v>
                </c:pt>
                <c:pt idx="60">
                  <c:v>1.063675594324989</c:v>
                </c:pt>
                <c:pt idx="62">
                  <c:v>1.091212938800272</c:v>
                </c:pt>
                <c:pt idx="63">
                  <c:v>0.41229073193078</c:v>
                </c:pt>
                <c:pt idx="65">
                  <c:v>0.751168086506036</c:v>
                </c:pt>
                <c:pt idx="66">
                  <c:v>0.0337883544394494</c:v>
                </c:pt>
                <c:pt idx="68">
                  <c:v>0.288652952182093</c:v>
                </c:pt>
                <c:pt idx="69">
                  <c:v>-0.477742497550172</c:v>
                </c:pt>
                <c:pt idx="71">
                  <c:v>-0.780900543405162</c:v>
                </c:pt>
                <c:pt idx="72">
                  <c:v>-1.646323294159553</c:v>
                </c:pt>
                <c:pt idx="74">
                  <c:v>-0.118427039768447</c:v>
                </c:pt>
                <c:pt idx="75">
                  <c:v>-0.92485350131849</c:v>
                </c:pt>
                <c:pt idx="77">
                  <c:v>-0.686785406864077</c:v>
                </c:pt>
                <c:pt idx="78">
                  <c:v>-1.544287431184322</c:v>
                </c:pt>
              </c:numCache>
            </c:numRef>
          </c:yVal>
        </c:ser>
        <c:axId val="480608968"/>
        <c:axId val="480612008"/>
      </c:scatterChart>
      <c:valAx>
        <c:axId val="480608968"/>
        <c:scaling>
          <c:orientation val="minMax"/>
        </c:scaling>
        <c:delete val="1"/>
        <c:axPos val="b"/>
        <c:numFmt formatCode="General" sourceLinked="1"/>
        <c:tickLblPos val="nextTo"/>
        <c:crossAx val="480612008"/>
        <c:crosses val="autoZero"/>
        <c:crossBetween val="midCat"/>
      </c:valAx>
      <c:valAx>
        <c:axId val="480612008"/>
        <c:scaling>
          <c:orientation val="minMax"/>
        </c:scaling>
        <c:delete val="1"/>
        <c:axPos val="l"/>
        <c:numFmt formatCode="General" sourceLinked="1"/>
        <c:tickLblPos val="nextTo"/>
        <c:crossAx val="480608968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chart" Target="../charts/chart4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5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3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3" name="Text Box 19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4" name="Text Box 20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6" name="Text Box 22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7" name="Text Box 23"/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6</xdr:col>
      <xdr:colOff>9525</xdr:colOff>
      <xdr:row>22</xdr:row>
      <xdr:rowOff>19050</xdr:rowOff>
    </xdr:from>
    <xdr:to>
      <xdr:col>10</xdr:col>
      <xdr:colOff>47625</xdr:colOff>
      <xdr:row>32</xdr:row>
      <xdr:rowOff>142875</xdr:rowOff>
    </xdr:to>
    <xdr:sp macro="" textlink="">
      <xdr:nvSpPr>
        <xdr:cNvPr id="1048" name="Text Box 24"/>
        <xdr:cNvSpPr txBox="1">
          <a:spLocks noChangeArrowheads="1"/>
        </xdr:cNvSpPr>
      </xdr:nvSpPr>
      <xdr:spPr bwMode="auto">
        <a:xfrm>
          <a:off x="3609975" y="3838575"/>
          <a:ext cx="2438400" cy="175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4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This is a list of the x, y, z, and h coordinates for the shape under view in this assignment.  The cells with a colored background are adjustable.  All other values are computed by formula from the values in these adjustable cells.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graphicFrame macro="">
      <xdr:nvGraphicFramePr>
        <xdr:cNvPr id="4189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90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15</xdr:row>
      <xdr:rowOff>28575</xdr:rowOff>
    </xdr:from>
    <xdr:to>
      <xdr:col>4</xdr:col>
      <xdr:colOff>47625</xdr:colOff>
      <xdr:row>20</xdr:row>
      <xdr:rowOff>95250</xdr:rowOff>
    </xdr:to>
    <xdr:sp macro="" textlink="">
      <xdr:nvSpPr>
        <xdr:cNvPr id="1057" name="Text Box 33"/>
        <xdr:cNvSpPr txBox="1">
          <a:spLocks noChangeArrowheads="1"/>
        </xdr:cNvSpPr>
      </xdr:nvSpPr>
      <xdr:spPr bwMode="auto">
        <a:xfrm>
          <a:off x="228600" y="2695575"/>
          <a:ext cx="22193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1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You can modify what clicking these buttons does by opening the visual basic editor.  They are presently set up to modify cell E7 (the value of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485775</xdr:colOff>
      <xdr:row>5</xdr:row>
      <xdr:rowOff>152400</xdr:rowOff>
    </xdr:from>
    <xdr:to>
      <xdr:col>7</xdr:col>
      <xdr:colOff>390525</xdr:colOff>
      <xdr:row>7</xdr:row>
      <xdr:rowOff>123825</xdr:rowOff>
    </xdr:to>
    <xdr:sp macro="" textlink="">
      <xdr:nvSpPr>
        <xdr:cNvPr id="4192" name="Line 34"/>
        <xdr:cNvSpPr>
          <a:spLocks noChangeShapeType="1"/>
        </xdr:cNvSpPr>
      </xdr:nvSpPr>
      <xdr:spPr bwMode="auto">
        <a:xfrm flipH="1">
          <a:off x="3486150" y="1190625"/>
          <a:ext cx="11049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247650</xdr:colOff>
      <xdr:row>2</xdr:row>
      <xdr:rowOff>19050</xdr:rowOff>
    </xdr:from>
    <xdr:to>
      <xdr:col>11</xdr:col>
      <xdr:colOff>66675</xdr:colOff>
      <xdr:row>15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4470400" y="569383"/>
          <a:ext cx="2232025" cy="212936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2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 understand cylindrical coordinates imagine a tin can.  z=0 is the bottom of the tin can, and positive values of z represent positions on the can above the base.  r is the radius of the can.  Angle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measures the angle around the can.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you keep a constant r and a constant z and let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run from 0 to 2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p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then you follow a circular path around the can at the specified height z.</a:t>
          </a:r>
        </a:p>
      </xdr:txBody>
    </xdr:sp>
    <xdr:clientData/>
  </xdr:twoCellAnchor>
  <xdr:twoCellAnchor>
    <xdr:from>
      <xdr:col>1</xdr:col>
      <xdr:colOff>285750</xdr:colOff>
      <xdr:row>12</xdr:row>
      <xdr:rowOff>57150</xdr:rowOff>
    </xdr:from>
    <xdr:to>
      <xdr:col>2</xdr:col>
      <xdr:colOff>0</xdr:colOff>
      <xdr:row>15</xdr:row>
      <xdr:rowOff>28575</xdr:rowOff>
    </xdr:to>
    <xdr:sp macro="" textlink="">
      <xdr:nvSpPr>
        <xdr:cNvPr id="4194" name="Line 48"/>
        <xdr:cNvSpPr>
          <a:spLocks noChangeShapeType="1"/>
        </xdr:cNvSpPr>
      </xdr:nvSpPr>
      <xdr:spPr bwMode="auto">
        <a:xfrm flipH="1" flipV="1">
          <a:off x="885825" y="2238375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123825</xdr:colOff>
      <xdr:row>15</xdr:row>
      <xdr:rowOff>38100</xdr:rowOff>
    </xdr:from>
    <xdr:to>
      <xdr:col>9</xdr:col>
      <xdr:colOff>285750</xdr:colOff>
      <xdr:row>18</xdr:row>
      <xdr:rowOff>142875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3124200" y="2705100"/>
          <a:ext cx="2562225" cy="609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3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 rectangular coordinates of the VRP are computed from the cylindrical coordinates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514350</xdr:colOff>
      <xdr:row>11</xdr:row>
      <xdr:rowOff>104775</xdr:rowOff>
    </xdr:from>
    <xdr:to>
      <xdr:col>6</xdr:col>
      <xdr:colOff>495300</xdr:colOff>
      <xdr:row>15</xdr:row>
      <xdr:rowOff>38100</xdr:rowOff>
    </xdr:to>
    <xdr:sp macro="" textlink="">
      <xdr:nvSpPr>
        <xdr:cNvPr id="4196" name="Line 50"/>
        <xdr:cNvSpPr>
          <a:spLocks noChangeShapeType="1"/>
        </xdr:cNvSpPr>
      </xdr:nvSpPr>
      <xdr:spPr bwMode="auto">
        <a:xfrm flipH="1" flipV="1">
          <a:off x="3514725" y="2114550"/>
          <a:ext cx="581025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97" name="AutoShape 53"/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98" name="AutoShape 62"/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11</xdr:col>
      <xdr:colOff>148318</xdr:colOff>
      <xdr:row>0</xdr:row>
      <xdr:rowOff>212272</xdr:rowOff>
    </xdr:from>
    <xdr:to>
      <xdr:col>16</xdr:col>
      <xdr:colOff>291193</xdr:colOff>
      <xdr:row>17</xdr:row>
      <xdr:rowOff>36740</xdr:rowOff>
    </xdr:to>
    <xdr:graphicFrame macro="">
      <xdr:nvGraphicFramePr>
        <xdr:cNvPr id="4199" name="Chart 10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23</xdr:row>
      <xdr:rowOff>95250</xdr:rowOff>
    </xdr:from>
    <xdr:to>
      <xdr:col>6</xdr:col>
      <xdr:colOff>9525</xdr:colOff>
      <xdr:row>35</xdr:row>
      <xdr:rowOff>57150</xdr:rowOff>
    </xdr:to>
    <xdr:sp macro="" textlink="">
      <xdr:nvSpPr>
        <xdr:cNvPr id="4200" name="Line 1025"/>
        <xdr:cNvSpPr>
          <a:spLocks noChangeShapeType="1"/>
        </xdr:cNvSpPr>
      </xdr:nvSpPr>
      <xdr:spPr bwMode="auto">
        <a:xfrm flipH="1">
          <a:off x="3067050" y="4076700"/>
          <a:ext cx="542925" cy="1914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400050</xdr:colOff>
      <xdr:row>19</xdr:row>
      <xdr:rowOff>95250</xdr:rowOff>
    </xdr:from>
    <xdr:to>
      <xdr:col>16</xdr:col>
      <xdr:colOff>76200</xdr:colOff>
      <xdr:row>44</xdr:row>
      <xdr:rowOff>95250</xdr:rowOff>
    </xdr:to>
    <xdr:sp macro="" textlink="">
      <xdr:nvSpPr>
        <xdr:cNvPr id="4098" name="Text Box 1026"/>
        <xdr:cNvSpPr txBox="1">
          <a:spLocks noChangeArrowheads="1"/>
        </xdr:cNvSpPr>
      </xdr:nvSpPr>
      <xdr:spPr bwMode="auto">
        <a:xfrm>
          <a:off x="7600950" y="3429000"/>
          <a:ext cx="2076450" cy="405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5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Suppose you wish to draw a line from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 to c and a second line from b to d and a third line from k to l to m.  Here is an easy way to do it: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 a column put: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a, c, blank, b, d, blank, k, l, 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(each blank means this line is finished)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use the VLOOKUP function as illustrated here to copy in the coordinates.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Delete any #N/A entries.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make a scatter plot with straight lines.  Click on the chart to see where the data is coming from.</a:t>
          </a:r>
        </a:p>
      </xdr:txBody>
    </xdr:sp>
    <xdr:clientData/>
  </xdr:twoCellAnchor>
  <xdr:twoCellAnchor>
    <xdr:from>
      <xdr:col>16</xdr:col>
      <xdr:colOff>76200</xdr:colOff>
      <xdr:row>19</xdr:row>
      <xdr:rowOff>19050</xdr:rowOff>
    </xdr:from>
    <xdr:to>
      <xdr:col>18</xdr:col>
      <xdr:colOff>0</xdr:colOff>
      <xdr:row>26</xdr:row>
      <xdr:rowOff>85725</xdr:rowOff>
    </xdr:to>
    <xdr:sp macro="" textlink="">
      <xdr:nvSpPr>
        <xdr:cNvPr id="4202" name="Line 1028"/>
        <xdr:cNvSpPr>
          <a:spLocks noChangeShapeType="1"/>
        </xdr:cNvSpPr>
      </xdr:nvSpPr>
      <xdr:spPr bwMode="auto">
        <a:xfrm flipV="1">
          <a:off x="9677400" y="3352800"/>
          <a:ext cx="1123950" cy="12096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190500</xdr:colOff>
      <xdr:row>104</xdr:row>
      <xdr:rowOff>23813</xdr:rowOff>
    </xdr:from>
    <xdr:to>
      <xdr:col>20</xdr:col>
      <xdr:colOff>547687</xdr:colOff>
      <xdr:row>131</xdr:row>
      <xdr:rowOff>47625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440530</xdr:colOff>
      <xdr:row>229</xdr:row>
      <xdr:rowOff>47624</xdr:rowOff>
    </xdr:from>
    <xdr:to>
      <xdr:col>15</xdr:col>
      <xdr:colOff>523874</xdr:colOff>
      <xdr:row>261</xdr:row>
      <xdr:rowOff>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codeName="Sheet2" enableFormatConditionsCalculation="0"/>
  <dimension ref="A1:I49"/>
  <sheetViews>
    <sheetView workbookViewId="0">
      <selection activeCell="B16" sqref="B16"/>
    </sheetView>
  </sheetViews>
  <sheetFormatPr baseColWidth="10" defaultColWidth="8.83203125" defaultRowHeight="12"/>
  <cols>
    <col min="1" max="1" width="15.5" bestFit="1" customWidth="1"/>
  </cols>
  <sheetData>
    <row r="1" spans="1:9">
      <c r="A1" s="51">
        <v>39874.504374999997</v>
      </c>
      <c r="B1" s="52" t="s">
        <v>46</v>
      </c>
      <c r="C1" s="52" t="s">
        <v>44</v>
      </c>
      <c r="D1" s="52"/>
      <c r="E1" s="49"/>
      <c r="F1" s="49"/>
      <c r="G1" s="49"/>
      <c r="H1" s="49"/>
      <c r="I1" s="49"/>
    </row>
    <row r="2" spans="1:9">
      <c r="A2" s="42">
        <v>39874.506643518522</v>
      </c>
      <c r="B2" s="43" t="s">
        <v>46</v>
      </c>
      <c r="C2" s="43" t="s">
        <v>36</v>
      </c>
      <c r="D2" s="52"/>
      <c r="E2" s="49"/>
      <c r="F2" s="49"/>
      <c r="G2" s="49"/>
      <c r="H2" s="49"/>
      <c r="I2" s="49"/>
    </row>
    <row r="3" spans="1:9">
      <c r="A3" s="42">
        <v>39874.527627314812</v>
      </c>
      <c r="B3" s="43" t="s">
        <v>46</v>
      </c>
      <c r="C3" s="43" t="s">
        <v>36</v>
      </c>
      <c r="D3" s="52"/>
      <c r="E3" s="49"/>
      <c r="F3" s="49"/>
      <c r="G3" s="49"/>
      <c r="H3" s="49"/>
      <c r="I3" s="49"/>
    </row>
    <row r="4" spans="1:9">
      <c r="A4" s="42">
        <v>39874.532858796294</v>
      </c>
      <c r="B4" s="43" t="s">
        <v>46</v>
      </c>
      <c r="C4" s="43" t="s">
        <v>36</v>
      </c>
      <c r="D4" s="52"/>
    </row>
    <row r="5" spans="1:9">
      <c r="A5" s="42">
        <v>39874.53402777778</v>
      </c>
      <c r="B5" s="43" t="s">
        <v>46</v>
      </c>
      <c r="C5" s="43" t="s">
        <v>36</v>
      </c>
      <c r="D5" s="52"/>
    </row>
    <row r="6" spans="1:9">
      <c r="A6" s="42">
        <v>39874.534189814818</v>
      </c>
      <c r="B6" s="43" t="s">
        <v>46</v>
      </c>
      <c r="C6" s="43" t="s">
        <v>36</v>
      </c>
      <c r="D6" s="52"/>
    </row>
    <row r="7" spans="1:9">
      <c r="A7" s="42">
        <v>39874.558877314812</v>
      </c>
      <c r="B7" s="43" t="s">
        <v>46</v>
      </c>
      <c r="C7" s="43" t="s">
        <v>36</v>
      </c>
    </row>
    <row r="8" spans="1:9">
      <c r="A8" s="42">
        <v>39874.559317129628</v>
      </c>
      <c r="B8" s="43" t="s">
        <v>46</v>
      </c>
      <c r="C8" s="43" t="s">
        <v>36</v>
      </c>
    </row>
    <row r="9" spans="1:9">
      <c r="A9" s="53">
        <v>39875.403773148151</v>
      </c>
      <c r="B9" s="54" t="s">
        <v>46</v>
      </c>
      <c r="C9" s="54" t="s">
        <v>36</v>
      </c>
    </row>
    <row r="10" spans="1:9">
      <c r="A10" s="53">
        <v>39875.420416666668</v>
      </c>
      <c r="B10" s="54" t="s">
        <v>46</v>
      </c>
      <c r="C10" s="54" t="s">
        <v>36</v>
      </c>
    </row>
    <row r="11" spans="1:9">
      <c r="A11" s="42">
        <v>39875.436331018522</v>
      </c>
      <c r="B11" s="43" t="s">
        <v>47</v>
      </c>
      <c r="C11" s="43" t="s">
        <v>36</v>
      </c>
    </row>
    <row r="12" spans="1:9">
      <c r="A12" s="42">
        <v>39875.436435185184</v>
      </c>
      <c r="B12" s="43" t="s">
        <v>47</v>
      </c>
      <c r="C12" s="43" t="s">
        <v>36</v>
      </c>
    </row>
    <row r="13" spans="1:9">
      <c r="A13" s="56">
        <v>39899.079618055555</v>
      </c>
      <c r="B13" s="57" t="s">
        <v>49</v>
      </c>
      <c r="C13" s="57" t="s">
        <v>48</v>
      </c>
    </row>
    <row r="14" spans="1:9">
      <c r="A14" s="42">
        <v>39899.104386574072</v>
      </c>
      <c r="B14" s="43" t="s">
        <v>49</v>
      </c>
      <c r="C14" s="43" t="s">
        <v>48</v>
      </c>
    </row>
    <row r="15" spans="1:9">
      <c r="A15" s="42">
        <v>39899.120763888888</v>
      </c>
      <c r="B15" s="43" t="s">
        <v>49</v>
      </c>
      <c r="C15" s="43" t="s">
        <v>48</v>
      </c>
    </row>
    <row r="16" spans="1:9">
      <c r="A16" s="42">
        <v>39899.132789351854</v>
      </c>
      <c r="B16" s="43" t="s">
        <v>49</v>
      </c>
      <c r="C16" s="43" t="s">
        <v>48</v>
      </c>
    </row>
    <row r="17" spans="1:3">
      <c r="A17" s="42">
        <v>39899.133437500001</v>
      </c>
      <c r="B17" s="43" t="s">
        <v>49</v>
      </c>
      <c r="C17" s="43" t="s">
        <v>48</v>
      </c>
    </row>
    <row r="18" spans="1:3">
      <c r="A18" s="42">
        <v>39899.134525462963</v>
      </c>
      <c r="B18" s="43" t="s">
        <v>49</v>
      </c>
      <c r="C18" s="43" t="s">
        <v>48</v>
      </c>
    </row>
    <row r="19" spans="1:3">
      <c r="A19" s="42">
        <v>39899.141296296293</v>
      </c>
      <c r="B19" s="43" t="s">
        <v>49</v>
      </c>
      <c r="C19" s="43" t="s">
        <v>48</v>
      </c>
    </row>
    <row r="20" spans="1:3">
      <c r="A20" s="42">
        <v>39899.141712962963</v>
      </c>
      <c r="B20" s="43" t="s">
        <v>49</v>
      </c>
      <c r="C20" s="43" t="s">
        <v>48</v>
      </c>
    </row>
    <row r="21" spans="1:3">
      <c r="A21" s="42">
        <v>39899.142974537041</v>
      </c>
      <c r="B21" s="43" t="s">
        <v>49</v>
      </c>
      <c r="C21" s="43" t="s">
        <v>48</v>
      </c>
    </row>
    <row r="22" spans="1:3">
      <c r="A22" s="42">
        <v>39899.149143518516</v>
      </c>
      <c r="B22" s="43" t="s">
        <v>49</v>
      </c>
      <c r="C22" s="43" t="s">
        <v>48</v>
      </c>
    </row>
    <row r="23" spans="1:3">
      <c r="A23" s="42">
        <v>39899.155069444445</v>
      </c>
      <c r="B23" s="43" t="s">
        <v>49</v>
      </c>
      <c r="C23" s="43" t="s">
        <v>48</v>
      </c>
    </row>
    <row r="24" spans="1:3">
      <c r="A24" s="42">
        <v>39899.156342592592</v>
      </c>
      <c r="B24" s="43" t="s">
        <v>49</v>
      </c>
      <c r="C24" s="43" t="s">
        <v>48</v>
      </c>
    </row>
    <row r="25" spans="1:3">
      <c r="A25" s="42">
        <v>39899.164143518516</v>
      </c>
      <c r="B25" s="43" t="s">
        <v>49</v>
      </c>
      <c r="C25" s="43" t="s">
        <v>48</v>
      </c>
    </row>
    <row r="26" spans="1:3">
      <c r="A26" s="42">
        <v>39899.164270833331</v>
      </c>
      <c r="B26" s="43" t="s">
        <v>49</v>
      </c>
      <c r="C26" s="43" t="s">
        <v>48</v>
      </c>
    </row>
    <row r="27" spans="1:3">
      <c r="A27" s="42">
        <v>39899.166724537034</v>
      </c>
      <c r="B27" s="43" t="s">
        <v>49</v>
      </c>
      <c r="C27" s="43" t="s">
        <v>48</v>
      </c>
    </row>
    <row r="28" spans="1:3">
      <c r="A28" s="42">
        <v>39899.178935185184</v>
      </c>
      <c r="B28" s="43" t="s">
        <v>49</v>
      </c>
      <c r="C28" s="43" t="s">
        <v>48</v>
      </c>
    </row>
    <row r="29" spans="1:3">
      <c r="A29" s="42">
        <v>39899.180775462963</v>
      </c>
      <c r="B29" s="43" t="s">
        <v>49</v>
      </c>
      <c r="C29" s="43" t="s">
        <v>48</v>
      </c>
    </row>
    <row r="30" spans="1:3">
      <c r="A30" s="42">
        <v>39899.182453703703</v>
      </c>
      <c r="B30" s="43" t="s">
        <v>49</v>
      </c>
      <c r="C30" s="43" t="s">
        <v>48</v>
      </c>
    </row>
    <row r="31" spans="1:3">
      <c r="A31" s="42">
        <v>39899.182893518519</v>
      </c>
      <c r="B31" s="43" t="s">
        <v>49</v>
      </c>
      <c r="C31" s="43" t="s">
        <v>48</v>
      </c>
    </row>
    <row r="32" spans="1:3">
      <c r="A32" s="42">
        <v>39899.183634259258</v>
      </c>
      <c r="B32" s="43" t="s">
        <v>49</v>
      </c>
      <c r="C32" s="43" t="s">
        <v>48</v>
      </c>
    </row>
    <row r="33" spans="1:3">
      <c r="A33" s="42">
        <v>39899.184328703705</v>
      </c>
      <c r="B33" s="43" t="s">
        <v>49</v>
      </c>
      <c r="C33" s="43" t="s">
        <v>48</v>
      </c>
    </row>
    <row r="34" spans="1:3">
      <c r="A34" s="42">
        <v>39899.188171296293</v>
      </c>
      <c r="B34" s="43" t="s">
        <v>49</v>
      </c>
      <c r="C34" s="43" t="s">
        <v>48</v>
      </c>
    </row>
    <row r="35" spans="1:3">
      <c r="A35" s="42">
        <v>39899.191087962965</v>
      </c>
      <c r="B35" s="43" t="s">
        <v>49</v>
      </c>
      <c r="C35" s="43" t="s">
        <v>48</v>
      </c>
    </row>
    <row r="36" spans="1:3">
      <c r="A36" s="42">
        <v>39899.191805555558</v>
      </c>
      <c r="B36" s="43" t="s">
        <v>49</v>
      </c>
      <c r="C36" s="43" t="s">
        <v>48</v>
      </c>
    </row>
    <row r="37" spans="1:3">
      <c r="A37" s="42">
        <v>39899.201701388891</v>
      </c>
      <c r="B37" s="43" t="s">
        <v>49</v>
      </c>
      <c r="C37" s="43" t="s">
        <v>48</v>
      </c>
    </row>
    <row r="38" spans="1:3">
      <c r="A38" s="42">
        <v>39899.207268518519</v>
      </c>
      <c r="B38" s="43" t="s">
        <v>49</v>
      </c>
      <c r="C38" s="43" t="s">
        <v>48</v>
      </c>
    </row>
    <row r="39" spans="1:3">
      <c r="A39" s="42">
        <v>39899.208923611113</v>
      </c>
      <c r="B39" s="43" t="s">
        <v>49</v>
      </c>
      <c r="C39" s="43" t="s">
        <v>48</v>
      </c>
    </row>
    <row r="40" spans="1:3">
      <c r="A40" s="42">
        <v>39899.213020833333</v>
      </c>
      <c r="B40" s="43" t="s">
        <v>49</v>
      </c>
      <c r="C40" s="43" t="s">
        <v>48</v>
      </c>
    </row>
    <row r="41" spans="1:3">
      <c r="A41" s="42">
        <v>39899.216840277775</v>
      </c>
      <c r="B41" s="43" t="s">
        <v>49</v>
      </c>
      <c r="C41" s="43" t="s">
        <v>48</v>
      </c>
    </row>
    <row r="42" spans="1:3">
      <c r="A42" s="42">
        <v>39899.217037037037</v>
      </c>
      <c r="B42" s="43" t="s">
        <v>49</v>
      </c>
      <c r="C42" s="43" t="s">
        <v>48</v>
      </c>
    </row>
    <row r="43" spans="1:3">
      <c r="A43" s="42">
        <v>39899.217974537038</v>
      </c>
      <c r="B43" s="43" t="s">
        <v>49</v>
      </c>
      <c r="C43" s="43" t="s">
        <v>48</v>
      </c>
    </row>
    <row r="44" spans="1:3">
      <c r="A44" s="42">
        <v>39899.232118055559</v>
      </c>
      <c r="B44" s="43" t="s">
        <v>49</v>
      </c>
      <c r="C44" s="43" t="s">
        <v>48</v>
      </c>
    </row>
    <row r="45" spans="1:3">
      <c r="A45" s="42">
        <v>39899.235590277778</v>
      </c>
      <c r="B45" s="43" t="s">
        <v>49</v>
      </c>
      <c r="C45" s="43" t="s">
        <v>48</v>
      </c>
    </row>
    <row r="46" spans="1:3">
      <c r="A46" s="42">
        <v>39899.262627314813</v>
      </c>
      <c r="B46" s="43" t="s">
        <v>49</v>
      </c>
      <c r="C46" s="43" t="s">
        <v>48</v>
      </c>
    </row>
    <row r="47" spans="1:3">
      <c r="A47" s="42">
        <v>39899.341898148145</v>
      </c>
      <c r="B47" s="43" t="s">
        <v>49</v>
      </c>
      <c r="C47" s="43" t="s">
        <v>48</v>
      </c>
    </row>
    <row r="48" spans="1:3">
      <c r="A48" s="56">
        <v>39899.348449074074</v>
      </c>
      <c r="B48" s="57" t="s">
        <v>49</v>
      </c>
      <c r="C48" s="57" t="s">
        <v>48</v>
      </c>
    </row>
    <row r="49" spans="1:3">
      <c r="A49" s="56">
        <v>39899.349907407406</v>
      </c>
      <c r="B49" s="57" t="s">
        <v>49</v>
      </c>
      <c r="C49" s="57" t="s">
        <v>48</v>
      </c>
    </row>
  </sheetData>
  <sheetCalcPr fullCalcOnLoad="1"/>
  <phoneticPr fontId="7" type="noConversion"/>
  <pageMargins left="0.75" right="0.75" top="1" bottom="1" header="0.5" footer="0.5"/>
  <headerFooter alignWithMargins="0"/>
  <extLst>
    <ext xmlns:mx="http://schemas.microsoft.com/office/mac/excel/2008/main" uri="http://schemas.microsoft.com/office/mac/excel/2008/main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codeName="Sheet1" enableFormatConditionsCalculation="0">
    <pageSetUpPr fitToPage="1"/>
  </sheetPr>
  <dimension ref="A1:V413"/>
  <sheetViews>
    <sheetView tabSelected="1" topLeftCell="A47" zoomScale="80" zoomScaleNormal="80" zoomScalePageLayoutView="80" workbookViewId="0">
      <selection activeCell="A69" sqref="A69"/>
    </sheetView>
  </sheetViews>
  <sheetFormatPr baseColWidth="10" defaultColWidth="9" defaultRowHeight="12"/>
  <cols>
    <col min="3" max="3" width="13.6640625" bestFit="1" customWidth="1"/>
    <col min="7" max="7" width="12" bestFit="1" customWidth="1"/>
  </cols>
  <sheetData>
    <row r="1" spans="1:22" ht="21">
      <c r="A1" s="50" t="s">
        <v>48</v>
      </c>
    </row>
    <row r="2" spans="1:22" ht="18">
      <c r="A2" s="1" t="s">
        <v>43</v>
      </c>
    </row>
    <row r="3" spans="1:22" ht="13" thickBot="1"/>
    <row r="4" spans="1:22" ht="16" thickBot="1">
      <c r="A4" s="24"/>
      <c r="B4" s="10"/>
      <c r="C4" s="10"/>
      <c r="D4" s="27" t="s">
        <v>20</v>
      </c>
      <c r="E4" s="10"/>
      <c r="F4" s="10"/>
      <c r="G4" s="11"/>
      <c r="T4" t="s">
        <v>33</v>
      </c>
    </row>
    <row r="5" spans="1:22" ht="13" thickTop="1">
      <c r="A5" s="25"/>
      <c r="B5" s="4"/>
      <c r="C5" s="4"/>
      <c r="D5" s="4"/>
      <c r="E5" s="4"/>
      <c r="F5" s="4"/>
      <c r="G5" s="7"/>
      <c r="T5" s="34" t="s">
        <v>3</v>
      </c>
      <c r="U5" s="35">
        <f>VLOOKUP(T5, $A$25:$E$57, 3)</f>
        <v>0</v>
      </c>
      <c r="V5" s="36">
        <f>VLOOKUP(T5, $A$25:$E$57,  2)</f>
        <v>0</v>
      </c>
    </row>
    <row r="6" spans="1:22">
      <c r="A6" s="6"/>
      <c r="B6" s="4"/>
      <c r="C6" s="4"/>
      <c r="D6" s="4" t="s">
        <v>18</v>
      </c>
      <c r="E6" s="4"/>
      <c r="F6" s="4"/>
      <c r="G6" s="7"/>
      <c r="T6" s="37" t="s">
        <v>15</v>
      </c>
      <c r="U6" s="4">
        <f t="shared" ref="U6:U58" si="0">VLOOKUP(T6, $A$25:$E$57, 3)</f>
        <v>0</v>
      </c>
      <c r="V6" s="38">
        <f t="shared" ref="V6:V58" si="1">VLOOKUP(T6, $A$25:$E$57,  2)</f>
        <v>450</v>
      </c>
    </row>
    <row r="7" spans="1:22">
      <c r="A7" s="17"/>
      <c r="B7" s="13"/>
      <c r="C7" s="4"/>
      <c r="D7" s="13" t="s">
        <v>16</v>
      </c>
      <c r="E7" s="18" t="s">
        <v>17</v>
      </c>
      <c r="F7" s="13" t="s">
        <v>2</v>
      </c>
      <c r="G7" s="7"/>
      <c r="T7" s="37" t="s">
        <v>21</v>
      </c>
      <c r="U7" s="4">
        <f t="shared" si="0"/>
        <v>200</v>
      </c>
      <c r="V7" s="38">
        <f t="shared" si="1"/>
        <v>450</v>
      </c>
    </row>
    <row r="8" spans="1:22">
      <c r="A8" s="17"/>
      <c r="B8" s="13"/>
      <c r="C8" s="4"/>
      <c r="D8" s="13">
        <f>2*MAX(B48,C38)</f>
        <v>1600</v>
      </c>
      <c r="E8" s="21">
        <v>0.60000000000000009</v>
      </c>
      <c r="F8" s="13">
        <f>2*D33</f>
        <v>600</v>
      </c>
      <c r="G8" s="7"/>
      <c r="T8" s="37" t="s">
        <v>17</v>
      </c>
      <c r="U8" s="4">
        <f t="shared" si="0"/>
        <v>200</v>
      </c>
      <c r="V8" s="38">
        <f t="shared" si="1"/>
        <v>600</v>
      </c>
    </row>
    <row r="9" spans="1:22">
      <c r="A9" s="17"/>
      <c r="B9" s="13"/>
      <c r="C9" s="4"/>
      <c r="D9" s="19"/>
      <c r="E9" s="13"/>
      <c r="F9" s="4"/>
      <c r="G9" s="7"/>
      <c r="T9" s="37" t="s">
        <v>16</v>
      </c>
      <c r="U9" s="4">
        <f t="shared" si="0"/>
        <v>600</v>
      </c>
      <c r="V9" s="38">
        <f t="shared" si="1"/>
        <v>600</v>
      </c>
    </row>
    <row r="10" spans="1:22">
      <c r="A10" s="17"/>
      <c r="B10" s="20"/>
      <c r="C10" s="4"/>
      <c r="D10" s="4" t="s">
        <v>19</v>
      </c>
      <c r="E10" s="4"/>
      <c r="F10" s="4"/>
      <c r="G10" s="7"/>
      <c r="T10" s="37" t="s">
        <v>26</v>
      </c>
      <c r="U10" s="4">
        <f t="shared" si="0"/>
        <v>600</v>
      </c>
      <c r="V10" s="38">
        <f t="shared" si="1"/>
        <v>450</v>
      </c>
    </row>
    <row r="11" spans="1:22">
      <c r="A11" s="17"/>
      <c r="B11" s="4"/>
      <c r="C11" s="4"/>
      <c r="D11" s="13" t="s">
        <v>0</v>
      </c>
      <c r="E11" s="13" t="s">
        <v>1</v>
      </c>
      <c r="F11" s="13" t="s">
        <v>2</v>
      </c>
      <c r="G11" s="7"/>
      <c r="T11" s="37" t="s">
        <v>27</v>
      </c>
      <c r="U11" s="4">
        <f t="shared" si="0"/>
        <v>800</v>
      </c>
      <c r="V11" s="38">
        <f t="shared" si="1"/>
        <v>450</v>
      </c>
    </row>
    <row r="12" spans="1:22" ht="13" thickBot="1">
      <c r="A12" s="26"/>
      <c r="B12" s="8"/>
      <c r="C12" s="8"/>
      <c r="D12" s="15">
        <f>D8*COS(E8)</f>
        <v>1320.5369838554852</v>
      </c>
      <c r="E12" s="15">
        <f>D8*SIN(E8)</f>
        <v>903.42795743205681</v>
      </c>
      <c r="F12" s="15">
        <f>F8</f>
        <v>600</v>
      </c>
      <c r="G12" s="9"/>
      <c r="T12" s="37" t="s">
        <v>28</v>
      </c>
      <c r="U12" s="4">
        <f t="shared" si="0"/>
        <v>800</v>
      </c>
      <c r="V12" s="38">
        <f t="shared" si="1"/>
        <v>0</v>
      </c>
    </row>
    <row r="13" spans="1:22">
      <c r="A13" s="4"/>
      <c r="B13" s="19"/>
      <c r="C13" s="4"/>
      <c r="D13" s="19"/>
      <c r="E13" s="4"/>
      <c r="F13" s="4"/>
      <c r="G13" s="4"/>
      <c r="T13" s="37" t="s">
        <v>3</v>
      </c>
      <c r="U13" s="4">
        <f t="shared" si="0"/>
        <v>0</v>
      </c>
      <c r="V13" s="38">
        <f t="shared" si="1"/>
        <v>0</v>
      </c>
    </row>
    <row r="14" spans="1:22">
      <c r="B14" s="3"/>
      <c r="D14" s="3"/>
      <c r="T14" s="37"/>
      <c r="U14" s="4"/>
      <c r="V14" s="38"/>
    </row>
    <row r="15" spans="1:22">
      <c r="B15" s="3"/>
      <c r="D15" s="3"/>
      <c r="T15" s="37" t="s">
        <v>13</v>
      </c>
      <c r="U15" s="4">
        <f t="shared" si="0"/>
        <v>0</v>
      </c>
      <c r="V15" s="38">
        <f t="shared" si="1"/>
        <v>150</v>
      </c>
    </row>
    <row r="16" spans="1:22">
      <c r="B16" s="3"/>
      <c r="D16" s="3"/>
      <c r="T16" s="37" t="s">
        <v>14</v>
      </c>
      <c r="U16" s="4">
        <f t="shared" si="0"/>
        <v>0</v>
      </c>
      <c r="V16" s="38">
        <f t="shared" si="1"/>
        <v>450</v>
      </c>
    </row>
    <row r="17" spans="1:22" ht="14.5" customHeight="1">
      <c r="D17" s="3"/>
      <c r="T17" s="37" t="s">
        <v>22</v>
      </c>
      <c r="U17" s="4">
        <f t="shared" si="0"/>
        <v>200</v>
      </c>
      <c r="V17" s="38">
        <f t="shared" si="1"/>
        <v>450</v>
      </c>
    </row>
    <row r="18" spans="1:22">
      <c r="T18" s="37" t="s">
        <v>23</v>
      </c>
      <c r="U18" s="4">
        <f t="shared" si="0"/>
        <v>200</v>
      </c>
      <c r="V18" s="38">
        <f t="shared" si="1"/>
        <v>600</v>
      </c>
    </row>
    <row r="19" spans="1:22">
      <c r="T19" s="37" t="s">
        <v>24</v>
      </c>
      <c r="U19" s="4">
        <f t="shared" si="0"/>
        <v>600</v>
      </c>
      <c r="V19" s="38">
        <f t="shared" si="1"/>
        <v>600</v>
      </c>
    </row>
    <row r="20" spans="1:22">
      <c r="T20" s="37" t="s">
        <v>25</v>
      </c>
      <c r="U20" s="4">
        <f t="shared" si="0"/>
        <v>600</v>
      </c>
      <c r="V20" s="38">
        <f t="shared" si="1"/>
        <v>450</v>
      </c>
    </row>
    <row r="21" spans="1:22">
      <c r="T21" s="37" t="s">
        <v>0</v>
      </c>
      <c r="U21" s="4">
        <f t="shared" si="0"/>
        <v>800</v>
      </c>
      <c r="V21" s="38">
        <f t="shared" si="1"/>
        <v>450</v>
      </c>
    </row>
    <row r="22" spans="1:22">
      <c r="T22" s="37" t="s">
        <v>12</v>
      </c>
      <c r="U22" s="4">
        <f t="shared" si="0"/>
        <v>800</v>
      </c>
      <c r="V22" s="38">
        <f t="shared" si="1"/>
        <v>150</v>
      </c>
    </row>
    <row r="23" spans="1:22">
      <c r="A23" t="s">
        <v>35</v>
      </c>
      <c r="C23" s="2"/>
      <c r="T23" s="37" t="s">
        <v>13</v>
      </c>
      <c r="U23" s="4">
        <f t="shared" si="0"/>
        <v>0</v>
      </c>
      <c r="V23" s="38">
        <f t="shared" si="1"/>
        <v>150</v>
      </c>
    </row>
    <row r="24" spans="1:22" ht="13" thickBot="1">
      <c r="B24" s="5" t="s">
        <v>0</v>
      </c>
      <c r="C24" s="5" t="s">
        <v>1</v>
      </c>
      <c r="D24" s="5" t="s">
        <v>2</v>
      </c>
      <c r="E24" s="5" t="s">
        <v>4</v>
      </c>
      <c r="T24" s="37"/>
      <c r="U24" s="4"/>
      <c r="V24" s="38"/>
    </row>
    <row r="25" spans="1:22">
      <c r="A25" s="22" t="s">
        <v>3</v>
      </c>
      <c r="B25" s="30">
        <v>0</v>
      </c>
      <c r="C25" s="31">
        <v>0</v>
      </c>
      <c r="D25" s="31">
        <v>0</v>
      </c>
      <c r="E25" s="32">
        <v>1</v>
      </c>
      <c r="T25" s="37" t="s">
        <v>13</v>
      </c>
      <c r="U25" s="4">
        <f t="shared" si="0"/>
        <v>0</v>
      </c>
      <c r="V25" s="38">
        <f t="shared" si="1"/>
        <v>150</v>
      </c>
    </row>
    <row r="26" spans="1:22">
      <c r="A26" s="23" t="s">
        <v>30</v>
      </c>
      <c r="B26">
        <f>B34</f>
        <v>150</v>
      </c>
      <c r="C26">
        <f>5*C38/12</f>
        <v>333.33333333333331</v>
      </c>
      <c r="D26">
        <f>11*D33/12</f>
        <v>275</v>
      </c>
      <c r="E26" s="14">
        <v>1</v>
      </c>
      <c r="T26" s="37" t="s">
        <v>7</v>
      </c>
      <c r="U26" s="4">
        <f t="shared" si="0"/>
        <v>0</v>
      </c>
      <c r="V26" s="38">
        <f t="shared" si="1"/>
        <v>150</v>
      </c>
    </row>
    <row r="27" spans="1:22">
      <c r="A27" s="23" t="s">
        <v>31</v>
      </c>
      <c r="B27">
        <f>B34</f>
        <v>150</v>
      </c>
      <c r="C27">
        <f>C26</f>
        <v>333.33333333333331</v>
      </c>
      <c r="D27">
        <f>5*D33/12</f>
        <v>125</v>
      </c>
      <c r="E27" s="14">
        <v>1</v>
      </c>
      <c r="Q27" s="48" t="s">
        <v>45</v>
      </c>
      <c r="R27">
        <v>5</v>
      </c>
      <c r="T27" s="37" t="s">
        <v>8</v>
      </c>
      <c r="U27" s="4">
        <f t="shared" si="0"/>
        <v>400</v>
      </c>
      <c r="V27" s="38">
        <f t="shared" si="1"/>
        <v>150</v>
      </c>
    </row>
    <row r="28" spans="1:22">
      <c r="A28" s="23" t="s">
        <v>32</v>
      </c>
      <c r="B28">
        <f>B34</f>
        <v>150</v>
      </c>
      <c r="C28">
        <f>C35</f>
        <v>400</v>
      </c>
      <c r="D28">
        <f>7*D33/12</f>
        <v>175</v>
      </c>
      <c r="E28" s="14">
        <v>1</v>
      </c>
      <c r="T28" s="37" t="s">
        <v>29</v>
      </c>
      <c r="U28" s="4">
        <f t="shared" si="0"/>
        <v>533.33333333333337</v>
      </c>
      <c r="V28" s="38">
        <f t="shared" si="1"/>
        <v>150</v>
      </c>
    </row>
    <row r="29" spans="1:22">
      <c r="A29" s="23" t="s">
        <v>34</v>
      </c>
      <c r="B29">
        <f>11*B48/12</f>
        <v>550</v>
      </c>
      <c r="C29">
        <f>C38/2</f>
        <v>400</v>
      </c>
      <c r="D29">
        <f>D33/3</f>
        <v>100</v>
      </c>
      <c r="E29" s="14">
        <v>1</v>
      </c>
      <c r="T29" s="37" t="s">
        <v>4</v>
      </c>
      <c r="U29" s="4">
        <f t="shared" si="0"/>
        <v>800</v>
      </c>
      <c r="V29" s="38">
        <f t="shared" si="1"/>
        <v>150</v>
      </c>
    </row>
    <row r="30" spans="1:22">
      <c r="A30" s="23" t="s">
        <v>37</v>
      </c>
      <c r="B30">
        <f>2*B48/3</f>
        <v>400</v>
      </c>
      <c r="C30">
        <f>C38/3</f>
        <v>266.66666666666669</v>
      </c>
      <c r="D30">
        <f>D29</f>
        <v>100</v>
      </c>
      <c r="E30" s="14">
        <v>1</v>
      </c>
      <c r="T30" s="37" t="s">
        <v>12</v>
      </c>
      <c r="U30" s="4">
        <f t="shared" si="0"/>
        <v>800</v>
      </c>
      <c r="V30" s="38">
        <f t="shared" si="1"/>
        <v>150</v>
      </c>
    </row>
    <row r="31" spans="1:22">
      <c r="A31" s="23" t="s">
        <v>38</v>
      </c>
      <c r="B31">
        <f>B48/3</f>
        <v>200</v>
      </c>
      <c r="C31">
        <f>C29</f>
        <v>400</v>
      </c>
      <c r="D31">
        <f>D29</f>
        <v>100</v>
      </c>
      <c r="E31" s="14">
        <v>1</v>
      </c>
      <c r="T31" s="37"/>
      <c r="U31" s="4"/>
      <c r="V31" s="38"/>
    </row>
    <row r="32" spans="1:22">
      <c r="A32" s="23" t="s">
        <v>39</v>
      </c>
      <c r="B32">
        <f>B30</f>
        <v>400</v>
      </c>
      <c r="C32">
        <f>2*C38/3</f>
        <v>533.33333333333337</v>
      </c>
      <c r="D32">
        <f>D29</f>
        <v>100</v>
      </c>
      <c r="E32" s="14">
        <v>1</v>
      </c>
      <c r="T32" s="37" t="s">
        <v>3</v>
      </c>
      <c r="U32" s="4">
        <f t="shared" si="0"/>
        <v>0</v>
      </c>
      <c r="V32" s="38">
        <f t="shared" si="1"/>
        <v>0</v>
      </c>
    </row>
    <row r="33" spans="1:22">
      <c r="A33" s="23" t="s">
        <v>6</v>
      </c>
      <c r="B33">
        <f>B25</f>
        <v>0</v>
      </c>
      <c r="C33">
        <f>C25</f>
        <v>0</v>
      </c>
      <c r="D33" s="44">
        <f>100*D78</f>
        <v>300</v>
      </c>
      <c r="E33" s="29">
        <v>1</v>
      </c>
      <c r="T33" s="37" t="s">
        <v>6</v>
      </c>
      <c r="U33" s="4">
        <f t="shared" si="0"/>
        <v>0</v>
      </c>
      <c r="V33" s="38">
        <f t="shared" si="1"/>
        <v>0</v>
      </c>
    </row>
    <row r="34" spans="1:22">
      <c r="A34" s="23" t="s">
        <v>7</v>
      </c>
      <c r="B34">
        <f>B48/4</f>
        <v>150</v>
      </c>
      <c r="C34">
        <f>C25</f>
        <v>0</v>
      </c>
      <c r="D34">
        <f>D33</f>
        <v>300</v>
      </c>
      <c r="E34" s="29">
        <v>1</v>
      </c>
      <c r="T34" s="37" t="s">
        <v>5</v>
      </c>
      <c r="U34" s="4">
        <f t="shared" si="0"/>
        <v>400</v>
      </c>
      <c r="V34" s="38">
        <f t="shared" si="1"/>
        <v>0</v>
      </c>
    </row>
    <row r="35" spans="1:22">
      <c r="A35" s="23" t="s">
        <v>8</v>
      </c>
      <c r="B35">
        <f>B34</f>
        <v>150</v>
      </c>
      <c r="C35">
        <f>C38/2</f>
        <v>400</v>
      </c>
      <c r="D35">
        <f>D33</f>
        <v>300</v>
      </c>
      <c r="E35" s="29">
        <v>1</v>
      </c>
      <c r="T35" s="37" t="s">
        <v>9</v>
      </c>
      <c r="U35" s="4">
        <f t="shared" si="0"/>
        <v>533.33333333333337</v>
      </c>
      <c r="V35" s="38">
        <f t="shared" si="1"/>
        <v>0</v>
      </c>
    </row>
    <row r="36" spans="1:22">
      <c r="A36" s="23" t="s">
        <v>5</v>
      </c>
      <c r="B36">
        <f>B25</f>
        <v>0</v>
      </c>
      <c r="C36">
        <f>C35</f>
        <v>400</v>
      </c>
      <c r="D36">
        <f>D33</f>
        <v>300</v>
      </c>
      <c r="E36" s="29">
        <v>1</v>
      </c>
      <c r="T36" s="37" t="s">
        <v>10</v>
      </c>
      <c r="U36" s="4">
        <f t="shared" si="0"/>
        <v>800</v>
      </c>
      <c r="V36" s="38">
        <f t="shared" si="1"/>
        <v>0</v>
      </c>
    </row>
    <row r="37" spans="1:22">
      <c r="A37" s="23" t="s">
        <v>9</v>
      </c>
      <c r="B37">
        <f>B25</f>
        <v>0</v>
      </c>
      <c r="C37">
        <f>2*C38/3</f>
        <v>533.33333333333337</v>
      </c>
      <c r="D37">
        <f>7*D33/12</f>
        <v>175</v>
      </c>
      <c r="E37" s="29">
        <v>1</v>
      </c>
      <c r="T37" s="37" t="s">
        <v>28</v>
      </c>
      <c r="U37" s="4">
        <f t="shared" si="0"/>
        <v>800</v>
      </c>
      <c r="V37" s="38">
        <f t="shared" si="1"/>
        <v>0</v>
      </c>
    </row>
    <row r="38" spans="1:22">
      <c r="A38" s="23" t="s">
        <v>10</v>
      </c>
      <c r="B38">
        <f>B25</f>
        <v>0</v>
      </c>
      <c r="C38" s="44">
        <f>100*C78</f>
        <v>800</v>
      </c>
      <c r="D38">
        <f>D37</f>
        <v>175</v>
      </c>
      <c r="E38" s="33">
        <v>1</v>
      </c>
      <c r="T38" s="37"/>
      <c r="U38" s="4"/>
      <c r="V38" s="38"/>
    </row>
    <row r="39" spans="1:22">
      <c r="A39" s="23" t="s">
        <v>4</v>
      </c>
      <c r="B39">
        <f>B34</f>
        <v>150</v>
      </c>
      <c r="C39">
        <f>C38</f>
        <v>800</v>
      </c>
      <c r="D39">
        <f>D37</f>
        <v>175</v>
      </c>
      <c r="E39" s="29">
        <v>1</v>
      </c>
      <c r="T39" s="37" t="s">
        <v>7</v>
      </c>
      <c r="U39" s="4">
        <f t="shared" si="0"/>
        <v>0</v>
      </c>
      <c r="V39" s="38">
        <f t="shared" si="1"/>
        <v>150</v>
      </c>
    </row>
    <row r="40" spans="1:22">
      <c r="A40" s="23" t="s">
        <v>11</v>
      </c>
      <c r="B40">
        <f>B34</f>
        <v>150</v>
      </c>
      <c r="C40">
        <f>C37</f>
        <v>533.33333333333337</v>
      </c>
      <c r="D40">
        <f>D37</f>
        <v>175</v>
      </c>
      <c r="E40" s="14">
        <v>1</v>
      </c>
      <c r="T40" s="37" t="s">
        <v>6</v>
      </c>
      <c r="U40" s="4">
        <f t="shared" si="0"/>
        <v>0</v>
      </c>
      <c r="V40" s="38">
        <f t="shared" si="1"/>
        <v>0</v>
      </c>
    </row>
    <row r="41" spans="1:22">
      <c r="A41" s="23" t="s">
        <v>12</v>
      </c>
      <c r="B41">
        <f>B34</f>
        <v>150</v>
      </c>
      <c r="C41">
        <f>C38</f>
        <v>800</v>
      </c>
      <c r="D41">
        <f>D33/3</f>
        <v>100</v>
      </c>
      <c r="E41" s="14">
        <v>1</v>
      </c>
      <c r="T41" s="37"/>
      <c r="U41" s="4"/>
      <c r="V41" s="38"/>
    </row>
    <row r="42" spans="1:22">
      <c r="A42" s="23" t="s">
        <v>13</v>
      </c>
      <c r="B42">
        <f>B34</f>
        <v>150</v>
      </c>
      <c r="C42">
        <f>C25</f>
        <v>0</v>
      </c>
      <c r="D42">
        <f>D33/3</f>
        <v>100</v>
      </c>
      <c r="E42" s="14">
        <v>1</v>
      </c>
      <c r="T42" s="37" t="s">
        <v>8</v>
      </c>
      <c r="U42" s="4">
        <f t="shared" si="0"/>
        <v>400</v>
      </c>
      <c r="V42" s="38">
        <f t="shared" si="1"/>
        <v>150</v>
      </c>
    </row>
    <row r="43" spans="1:22">
      <c r="A43" s="23" t="s">
        <v>14</v>
      </c>
      <c r="B43">
        <f>0.75*B48</f>
        <v>450</v>
      </c>
      <c r="C43">
        <f>C25</f>
        <v>0</v>
      </c>
      <c r="D43">
        <f>D33/3</f>
        <v>100</v>
      </c>
      <c r="E43" s="14">
        <v>1</v>
      </c>
      <c r="T43" s="37" t="s">
        <v>5</v>
      </c>
      <c r="U43" s="4">
        <f t="shared" si="0"/>
        <v>400</v>
      </c>
      <c r="V43" s="38">
        <f t="shared" si="1"/>
        <v>0</v>
      </c>
    </row>
    <row r="44" spans="1:22">
      <c r="A44" s="12" t="s">
        <v>15</v>
      </c>
      <c r="B44" s="6">
        <f>B43</f>
        <v>450</v>
      </c>
      <c r="C44">
        <f>C25</f>
        <v>0</v>
      </c>
      <c r="D44">
        <f>D25</f>
        <v>0</v>
      </c>
      <c r="E44" s="14">
        <v>1</v>
      </c>
      <c r="T44" s="37"/>
      <c r="U44" s="4"/>
      <c r="V44" s="38"/>
    </row>
    <row r="45" spans="1:22">
      <c r="A45" s="13" t="s">
        <v>21</v>
      </c>
      <c r="B45" s="6">
        <f>B43</f>
        <v>450</v>
      </c>
      <c r="C45">
        <f>C46</f>
        <v>200</v>
      </c>
      <c r="D45">
        <f>D25</f>
        <v>0</v>
      </c>
      <c r="E45" s="14">
        <v>1</v>
      </c>
      <c r="T45" s="37" t="s">
        <v>29</v>
      </c>
      <c r="U45" s="4">
        <f t="shared" si="0"/>
        <v>533.33333333333337</v>
      </c>
      <c r="V45" s="38">
        <f t="shared" si="1"/>
        <v>150</v>
      </c>
    </row>
    <row r="46" spans="1:22">
      <c r="A46" s="13" t="s">
        <v>22</v>
      </c>
      <c r="B46" s="6">
        <f>B43</f>
        <v>450</v>
      </c>
      <c r="C46">
        <f>C38/4</f>
        <v>200</v>
      </c>
      <c r="D46">
        <f>D33/3</f>
        <v>100</v>
      </c>
      <c r="E46" s="14">
        <v>1</v>
      </c>
      <c r="T46" s="37" t="s">
        <v>9</v>
      </c>
      <c r="U46" s="4">
        <f t="shared" si="0"/>
        <v>533.33333333333337</v>
      </c>
      <c r="V46" s="38">
        <f t="shared" si="1"/>
        <v>0</v>
      </c>
    </row>
    <row r="47" spans="1:22">
      <c r="A47" s="13" t="s">
        <v>23</v>
      </c>
      <c r="B47" s="6">
        <f>B48</f>
        <v>600</v>
      </c>
      <c r="C47">
        <f>C46</f>
        <v>200</v>
      </c>
      <c r="D47">
        <f>D33/3</f>
        <v>100</v>
      </c>
      <c r="E47" s="14">
        <v>1</v>
      </c>
      <c r="T47" s="37"/>
      <c r="U47" s="4"/>
      <c r="V47" s="38"/>
    </row>
    <row r="48" spans="1:22">
      <c r="A48" s="13" t="s">
        <v>17</v>
      </c>
      <c r="B48" s="45">
        <f>100*B78</f>
        <v>600</v>
      </c>
      <c r="C48">
        <f>C47</f>
        <v>200</v>
      </c>
      <c r="D48">
        <f>D25</f>
        <v>0</v>
      </c>
      <c r="E48" s="14">
        <v>1</v>
      </c>
      <c r="T48" s="37" t="s">
        <v>4</v>
      </c>
      <c r="U48" s="4">
        <f t="shared" si="0"/>
        <v>800</v>
      </c>
      <c r="V48" s="38">
        <f t="shared" si="1"/>
        <v>150</v>
      </c>
    </row>
    <row r="49" spans="1:22">
      <c r="A49" s="13" t="s">
        <v>16</v>
      </c>
      <c r="B49" s="6">
        <f>B48</f>
        <v>600</v>
      </c>
      <c r="C49">
        <f>C51</f>
        <v>600</v>
      </c>
      <c r="D49">
        <f>D25</f>
        <v>0</v>
      </c>
      <c r="E49" s="14">
        <v>1</v>
      </c>
      <c r="T49" s="37" t="s">
        <v>10</v>
      </c>
      <c r="U49" s="4">
        <f t="shared" si="0"/>
        <v>800</v>
      </c>
      <c r="V49" s="38">
        <f t="shared" si="1"/>
        <v>0</v>
      </c>
    </row>
    <row r="50" spans="1:22">
      <c r="A50" s="13" t="s">
        <v>24</v>
      </c>
      <c r="B50" s="6">
        <f>B48</f>
        <v>600</v>
      </c>
      <c r="C50">
        <f>C51</f>
        <v>600</v>
      </c>
      <c r="D50">
        <f>D33/3</f>
        <v>100</v>
      </c>
      <c r="E50" s="14">
        <v>1</v>
      </c>
      <c r="T50" s="37"/>
      <c r="U50" s="4"/>
      <c r="V50" s="38"/>
    </row>
    <row r="51" spans="1:22">
      <c r="A51" s="13" t="s">
        <v>25</v>
      </c>
      <c r="B51" s="6">
        <f>B43</f>
        <v>450</v>
      </c>
      <c r="C51">
        <f>0.75*C38</f>
        <v>600</v>
      </c>
      <c r="D51">
        <f>D33/3</f>
        <v>100</v>
      </c>
      <c r="E51" s="14">
        <v>1</v>
      </c>
      <c r="T51" s="37" t="s">
        <v>1</v>
      </c>
      <c r="U51" s="4">
        <f t="shared" si="0"/>
        <v>66.666666666666671</v>
      </c>
      <c r="V51" s="38">
        <f t="shared" si="1"/>
        <v>150</v>
      </c>
    </row>
    <row r="52" spans="1:22">
      <c r="A52" s="13" t="s">
        <v>26</v>
      </c>
      <c r="B52" s="6">
        <f>B43</f>
        <v>450</v>
      </c>
      <c r="C52">
        <f>C51</f>
        <v>600</v>
      </c>
      <c r="D52">
        <f>D25</f>
        <v>0</v>
      </c>
      <c r="E52" s="14">
        <v>1</v>
      </c>
      <c r="T52" s="37" t="s">
        <v>2</v>
      </c>
      <c r="U52" s="4">
        <f t="shared" si="0"/>
        <v>66.666666666666671</v>
      </c>
      <c r="V52" s="38">
        <f t="shared" si="1"/>
        <v>150</v>
      </c>
    </row>
    <row r="53" spans="1:22">
      <c r="A53" s="13" t="s">
        <v>27</v>
      </c>
      <c r="B53" s="6">
        <f>B43</f>
        <v>450</v>
      </c>
      <c r="C53">
        <f>C38</f>
        <v>800</v>
      </c>
      <c r="D53">
        <f>D25</f>
        <v>0</v>
      </c>
      <c r="E53" s="14">
        <v>1</v>
      </c>
      <c r="T53" s="37" t="s">
        <v>32</v>
      </c>
      <c r="U53" s="4">
        <f t="shared" si="0"/>
        <v>400</v>
      </c>
      <c r="V53" s="38">
        <f t="shared" si="1"/>
        <v>150</v>
      </c>
    </row>
    <row r="54" spans="1:22">
      <c r="A54" s="13" t="s">
        <v>28</v>
      </c>
      <c r="B54" s="6">
        <f>B25</f>
        <v>0</v>
      </c>
      <c r="C54" s="46">
        <f>C38</f>
        <v>800</v>
      </c>
      <c r="D54">
        <f>D25</f>
        <v>0</v>
      </c>
      <c r="E54" s="14">
        <v>1</v>
      </c>
      <c r="T54" s="37"/>
      <c r="U54" s="4"/>
      <c r="V54" s="38"/>
    </row>
    <row r="55" spans="1:22">
      <c r="A55" s="14" t="s">
        <v>0</v>
      </c>
      <c r="B55">
        <f>B43</f>
        <v>450</v>
      </c>
      <c r="C55">
        <f>C38</f>
        <v>800</v>
      </c>
      <c r="D55">
        <f>D33/3</f>
        <v>100</v>
      </c>
      <c r="E55" s="14">
        <v>1</v>
      </c>
      <c r="T55" s="37" t="s">
        <v>30</v>
      </c>
      <c r="U55" s="4">
        <f t="shared" si="0"/>
        <v>333.33333333333331</v>
      </c>
      <c r="V55" s="38">
        <f t="shared" si="1"/>
        <v>150</v>
      </c>
    </row>
    <row r="56" spans="1:22">
      <c r="A56" s="14" t="s">
        <v>1</v>
      </c>
      <c r="B56">
        <f>B34</f>
        <v>150</v>
      </c>
      <c r="C56">
        <f>C38/12</f>
        <v>66.666666666666671</v>
      </c>
      <c r="D56">
        <f>D26</f>
        <v>275</v>
      </c>
      <c r="E56" s="14">
        <v>1</v>
      </c>
      <c r="T56" s="37" t="s">
        <v>31</v>
      </c>
      <c r="U56" s="4">
        <f>VLOOKUP(T56, $A$25:$E$57, 3)+R27</f>
        <v>338.33333333333331</v>
      </c>
      <c r="V56" s="38">
        <f>VLOOKUP(T56, $A$25:$E$57,  2)+R27</f>
        <v>155</v>
      </c>
    </row>
    <row r="57" spans="1:22" ht="13" thickBot="1">
      <c r="A57" s="16" t="s">
        <v>2</v>
      </c>
      <c r="B57" s="28">
        <f>B34</f>
        <v>150</v>
      </c>
      <c r="C57" s="8">
        <f>C56</f>
        <v>66.666666666666671</v>
      </c>
      <c r="D57" s="8">
        <f>D28</f>
        <v>175</v>
      </c>
      <c r="E57" s="16">
        <v>1</v>
      </c>
      <c r="T57" s="37"/>
      <c r="U57" s="4"/>
      <c r="V57" s="38"/>
    </row>
    <row r="58" spans="1:22">
      <c r="A58" s="5"/>
      <c r="T58" s="37" t="s">
        <v>39</v>
      </c>
      <c r="U58" s="4">
        <f t="shared" si="0"/>
        <v>533.33333333333337</v>
      </c>
      <c r="V58" s="38">
        <f t="shared" si="1"/>
        <v>400</v>
      </c>
    </row>
    <row r="59" spans="1:22">
      <c r="T59" s="37" t="s">
        <v>34</v>
      </c>
      <c r="U59" s="4">
        <f>VLOOKUP(T59, $A$25:$E$57, 3)</f>
        <v>400</v>
      </c>
      <c r="V59" s="38">
        <f>VLOOKUP(T59, $A$25:$E$57,  2)</f>
        <v>550</v>
      </c>
    </row>
    <row r="60" spans="1:22">
      <c r="T60" s="37"/>
      <c r="U60" s="4"/>
      <c r="V60" s="38"/>
    </row>
    <row r="61" spans="1:22">
      <c r="T61" s="37" t="s">
        <v>37</v>
      </c>
      <c r="U61" s="4">
        <f>VLOOKUP(T61, $A$25:$E$57, 3)</f>
        <v>266.66666666666669</v>
      </c>
      <c r="V61" s="38">
        <f>VLOOKUP(T61, $A$25:$E$57,  2)</f>
        <v>400</v>
      </c>
    </row>
    <row r="62" spans="1:22">
      <c r="T62" s="37" t="s">
        <v>34</v>
      </c>
      <c r="U62" s="4">
        <f>VLOOKUP(T62, $A$25:$E$57, 3)</f>
        <v>400</v>
      </c>
      <c r="V62" s="38">
        <f>VLOOKUP(T62, $A$25:$E$57,  2)</f>
        <v>550</v>
      </c>
    </row>
    <row r="63" spans="1:22">
      <c r="T63" s="37"/>
      <c r="U63" s="4"/>
      <c r="V63" s="38"/>
    </row>
    <row r="64" spans="1:22">
      <c r="T64" s="37" t="s">
        <v>34</v>
      </c>
      <c r="U64" s="4">
        <f>VLOOKUP(T64, $A$25:$E$57, 3)</f>
        <v>400</v>
      </c>
      <c r="V64" s="38">
        <f>VLOOKUP(T64, $A$25:$E$57,  2)</f>
        <v>550</v>
      </c>
    </row>
    <row r="65" spans="1:22">
      <c r="T65" s="37" t="s">
        <v>38</v>
      </c>
      <c r="U65" s="4">
        <f>VLOOKUP(T65, $A$25:$E$57, 3)</f>
        <v>400</v>
      </c>
      <c r="V65" s="38">
        <f>VLOOKUP(T65, $A$25:$E$57,  2)</f>
        <v>200</v>
      </c>
    </row>
    <row r="66" spans="1:22">
      <c r="T66" s="37"/>
      <c r="U66" s="4"/>
      <c r="V66" s="38"/>
    </row>
    <row r="67" spans="1:22">
      <c r="T67" s="37" t="s">
        <v>14</v>
      </c>
      <c r="U67" s="4">
        <f>VLOOKUP(T67, $A$25:$E$57, 3)</f>
        <v>0</v>
      </c>
      <c r="V67" s="38">
        <f>VLOOKUP(T67, $A$25:$E$57,  2)</f>
        <v>450</v>
      </c>
    </row>
    <row r="68" spans="1:22">
      <c r="T68" s="37" t="s">
        <v>15</v>
      </c>
      <c r="U68" s="4">
        <f>VLOOKUP(T68, $A$25:$E$57, 3)+R27</f>
        <v>5</v>
      </c>
      <c r="V68" s="38">
        <f>VLOOKUP(T68, $A$25:$E$57,  2)+R27</f>
        <v>455</v>
      </c>
    </row>
    <row r="69" spans="1:22">
      <c r="T69" s="37"/>
      <c r="U69" s="4"/>
      <c r="V69" s="38"/>
    </row>
    <row r="70" spans="1:22">
      <c r="T70" s="37" t="s">
        <v>22</v>
      </c>
      <c r="U70" s="4">
        <f>VLOOKUP(T70, $A$25:$E$57, 3)</f>
        <v>200</v>
      </c>
      <c r="V70" s="38">
        <f>VLOOKUP(T70, $A$25:$E$57,  2)</f>
        <v>450</v>
      </c>
    </row>
    <row r="71" spans="1:22">
      <c r="T71" s="37" t="s">
        <v>21</v>
      </c>
      <c r="U71" s="4">
        <f>VLOOKUP(T71, $A$25:$E$57, 3)+R27</f>
        <v>205</v>
      </c>
      <c r="V71" s="38">
        <f>VLOOKUP(T71, $A$25:$E$57,  2)+R27</f>
        <v>455</v>
      </c>
    </row>
    <row r="72" spans="1:22">
      <c r="T72" s="37"/>
      <c r="U72" s="4"/>
      <c r="V72" s="38"/>
    </row>
    <row r="73" spans="1:22">
      <c r="T73" s="37" t="s">
        <v>23</v>
      </c>
      <c r="U73" s="4">
        <f>VLOOKUP(T73, $A$25:$E$57, 3)</f>
        <v>200</v>
      </c>
      <c r="V73" s="38">
        <f>VLOOKUP(T73, $A$25:$E$57,  2)</f>
        <v>600</v>
      </c>
    </row>
    <row r="74" spans="1:22">
      <c r="T74" s="37" t="s">
        <v>17</v>
      </c>
      <c r="U74" s="4">
        <f>VLOOKUP(T74, $A$25:$E$57, 3)+R27</f>
        <v>205</v>
      </c>
      <c r="V74" s="38">
        <f>VLOOKUP(T74, $A$25:$E$57,  2)+R27</f>
        <v>605</v>
      </c>
    </row>
    <row r="75" spans="1:22">
      <c r="T75" s="37"/>
      <c r="U75" s="4"/>
      <c r="V75" s="38"/>
    </row>
    <row r="76" spans="1:22">
      <c r="A76" s="47" t="s">
        <v>42</v>
      </c>
      <c r="H76" s="47" t="s">
        <v>41</v>
      </c>
      <c r="T76" s="37" t="s">
        <v>24</v>
      </c>
      <c r="U76" s="4">
        <f>VLOOKUP(T76, $A$25:$E$57, 3)</f>
        <v>600</v>
      </c>
      <c r="V76" s="38">
        <f>VLOOKUP(T76, $A$25:$E$57,  2)</f>
        <v>600</v>
      </c>
    </row>
    <row r="77" spans="1:22">
      <c r="B77" s="5" t="s">
        <v>0</v>
      </c>
      <c r="C77" s="5" t="s">
        <v>1</v>
      </c>
      <c r="D77" s="5" t="s">
        <v>2</v>
      </c>
      <c r="E77" s="5"/>
      <c r="F77" s="5" t="s">
        <v>40</v>
      </c>
      <c r="T77" s="37" t="s">
        <v>16</v>
      </c>
      <c r="U77" s="4">
        <f>VLOOKUP(T77, $A$25:$E$57, 3)+R27</f>
        <v>605</v>
      </c>
      <c r="V77" s="38">
        <f>VLOOKUP(T77, $A$25:$E$57,  2)+R27</f>
        <v>605</v>
      </c>
    </row>
    <row r="78" spans="1:22">
      <c r="B78" s="5">
        <v>6</v>
      </c>
      <c r="C78" s="5">
        <v>8</v>
      </c>
      <c r="D78" s="5">
        <v>3</v>
      </c>
      <c r="E78" s="5"/>
      <c r="F78" s="58">
        <f>SQRT(SUMSQ(B78:D78))</f>
        <v>10.440306508910551</v>
      </c>
      <c r="I78" s="58" t="s">
        <v>0</v>
      </c>
      <c r="J78" s="58" t="s">
        <v>1</v>
      </c>
      <c r="K78" s="58" t="s">
        <v>2</v>
      </c>
      <c r="L78" s="5"/>
      <c r="M78" s="58" t="s">
        <v>40</v>
      </c>
      <c r="T78" s="37"/>
      <c r="U78" s="4"/>
      <c r="V78" s="38"/>
    </row>
    <row r="79" spans="1:22">
      <c r="A79" s="47"/>
      <c r="I79">
        <f>B29-D12</f>
        <v>-770.53698385548523</v>
      </c>
      <c r="J79">
        <f>C29-E12</f>
        <v>-503.42795743205681</v>
      </c>
      <c r="K79">
        <f>D29-F12</f>
        <v>-500</v>
      </c>
      <c r="M79" s="58">
        <f>SQRT(SUMSQ(I79:K79))</f>
        <v>1047.4573746999547</v>
      </c>
      <c r="T79" s="37" t="s">
        <v>25</v>
      </c>
      <c r="U79" s="4">
        <f>VLOOKUP(T79, $A$25:$E$57, 3)</f>
        <v>600</v>
      </c>
      <c r="V79" s="38">
        <f>VLOOKUP(T79, $A$25:$E$57,  2)</f>
        <v>450</v>
      </c>
    </row>
    <row r="80" spans="1:22">
      <c r="M80" s="55"/>
      <c r="T80" s="37" t="s">
        <v>26</v>
      </c>
      <c r="U80" s="4">
        <f>VLOOKUP(T80, $A$25:$E$57, 3)+R27</f>
        <v>605</v>
      </c>
      <c r="V80" s="38">
        <f>VLOOKUP(T80, $A$25:$E$57,  2)+R27</f>
        <v>455</v>
      </c>
    </row>
    <row r="81" spans="1:22">
      <c r="H81" s="48" t="s">
        <v>50</v>
      </c>
      <c r="I81">
        <f>I79/$M79</f>
        <v>-0.73562610037110709</v>
      </c>
      <c r="J81">
        <f>J79/$M79</f>
        <v>-0.48061903958265062</v>
      </c>
      <c r="K81">
        <f>K79/$M79</f>
        <v>-0.47734639334915707</v>
      </c>
      <c r="M81" s="55"/>
      <c r="T81" s="37"/>
      <c r="U81" s="4"/>
      <c r="V81" s="38"/>
    </row>
    <row r="82" spans="1:22">
      <c r="A82" s="47" t="s">
        <v>52</v>
      </c>
      <c r="T82" s="37" t="s">
        <v>0</v>
      </c>
      <c r="U82" s="4">
        <f>VLOOKUP(T82, $A$25:$E$57, 3)</f>
        <v>800</v>
      </c>
      <c r="V82" s="38">
        <f>VLOOKUP(T82, $A$25:$E$57,  2)</f>
        <v>450</v>
      </c>
    </row>
    <row r="83" spans="1:22" ht="13" thickBot="1">
      <c r="H83" s="47" t="s">
        <v>54</v>
      </c>
      <c r="T83" s="39" t="s">
        <v>27</v>
      </c>
      <c r="U83" s="40">
        <f>VLOOKUP(T83, $A$25:$E$57, 3)+R27</f>
        <v>805</v>
      </c>
      <c r="V83" s="41">
        <f>VLOOKUP(T83, $A$25:$E$57,  2)+R27</f>
        <v>455</v>
      </c>
    </row>
    <row r="84" spans="1:22" ht="13" thickTop="1">
      <c r="B84" s="58" t="s">
        <v>0</v>
      </c>
      <c r="C84" s="58" t="s">
        <v>1</v>
      </c>
      <c r="D84" s="58" t="s">
        <v>2</v>
      </c>
      <c r="E84" s="5"/>
      <c r="F84" s="58" t="s">
        <v>40</v>
      </c>
      <c r="G84" s="13"/>
    </row>
    <row r="85" spans="1:22">
      <c r="B85">
        <v>0</v>
      </c>
      <c r="C85">
        <v>0</v>
      </c>
      <c r="D85">
        <v>1</v>
      </c>
      <c r="F85" s="58">
        <f>SQRT(SUMSQ(B85:D85))</f>
        <v>1</v>
      </c>
      <c r="I85" s="58" t="s">
        <v>0</v>
      </c>
      <c r="J85" s="58" t="s">
        <v>1</v>
      </c>
      <c r="K85" s="58" t="s">
        <v>2</v>
      </c>
      <c r="L85" s="5"/>
      <c r="M85" s="58" t="s">
        <v>40</v>
      </c>
    </row>
    <row r="86" spans="1:22">
      <c r="H86" s="48" t="s">
        <v>55</v>
      </c>
      <c r="I86">
        <f>J$81*D88-K$81*C88</f>
        <v>-0.54695654970624552</v>
      </c>
      <c r="J86">
        <f>K$81*B88-I$81*D88</f>
        <v>0.83716099570718128</v>
      </c>
      <c r="K86">
        <f>I$81*C88-J$81*B88</f>
        <v>0</v>
      </c>
      <c r="M86" s="58">
        <f>SQRT(SUMSQ(I86:K86))</f>
        <v>0.99999999999999989</v>
      </c>
    </row>
    <row r="87" spans="1:22">
      <c r="A87" s="48" t="s">
        <v>51</v>
      </c>
      <c r="B87">
        <f>B85-($B85*$I$81+$C85*$J$81+$D85*$K$81)*I$81</f>
        <v>-0.35114846586565301</v>
      </c>
      <c r="C87">
        <f>C85-($B85*$I$81+$C85*$J$81+$D85*$K$81)*J$81</f>
        <v>-0.22942176511971404</v>
      </c>
      <c r="D87">
        <f>D85-($B85*$I$81+$C85*$J$81+$D85*$K$81)*K$81</f>
        <v>0.77214042075655187</v>
      </c>
      <c r="F87" s="58">
        <f>SQRT(SUMSQ(B87:D87))</f>
        <v>0.87871521026812316</v>
      </c>
    </row>
    <row r="88" spans="1:22">
      <c r="A88" s="48" t="s">
        <v>53</v>
      </c>
      <c r="B88">
        <f>B87/$F87</f>
        <v>-0.39961578195341213</v>
      </c>
      <c r="C88">
        <f>C87/$F87</f>
        <v>-0.26108773632097521</v>
      </c>
      <c r="D88">
        <f>D87/$F87</f>
        <v>0.87871521026812316</v>
      </c>
      <c r="F88" s="58">
        <f>SQRT(SUMSQ(B88:D88))</f>
        <v>1</v>
      </c>
    </row>
    <row r="90" spans="1:22">
      <c r="A90" s="47" t="s">
        <v>56</v>
      </c>
    </row>
    <row r="92" spans="1:22">
      <c r="A92" s="48" t="s">
        <v>57</v>
      </c>
      <c r="B92" s="59">
        <v>1</v>
      </c>
      <c r="C92" s="60">
        <v>0</v>
      </c>
      <c r="D92" s="60">
        <v>0</v>
      </c>
      <c r="E92" s="61">
        <v>0</v>
      </c>
      <c r="F92" s="48" t="s">
        <v>58</v>
      </c>
      <c r="G92" s="67">
        <f>I86</f>
        <v>-0.54695654970624552</v>
      </c>
      <c r="H92" s="68">
        <f>B88</f>
        <v>-0.39961578195341213</v>
      </c>
      <c r="I92" s="68">
        <f>I81</f>
        <v>-0.73562610037110709</v>
      </c>
      <c r="J92" s="69">
        <v>0</v>
      </c>
    </row>
    <row r="93" spans="1:22">
      <c r="B93" s="62">
        <v>0</v>
      </c>
      <c r="C93" s="19">
        <v>1</v>
      </c>
      <c r="D93" s="19">
        <v>0</v>
      </c>
      <c r="E93" s="63">
        <v>0</v>
      </c>
      <c r="G93" s="70">
        <f>J86</f>
        <v>0.83716099570718128</v>
      </c>
      <c r="H93" s="4">
        <f>C88</f>
        <v>-0.26108773632097521</v>
      </c>
      <c r="I93" s="4">
        <f>J81</f>
        <v>-0.48061903958265062</v>
      </c>
      <c r="J93" s="71">
        <v>0</v>
      </c>
    </row>
    <row r="94" spans="1:22">
      <c r="B94" s="62">
        <v>0</v>
      </c>
      <c r="C94" s="19">
        <v>0</v>
      </c>
      <c r="D94" s="19">
        <v>1</v>
      </c>
      <c r="E94" s="63">
        <v>0</v>
      </c>
      <c r="G94" s="70">
        <f>K86</f>
        <v>0</v>
      </c>
      <c r="H94" s="4">
        <f>D88</f>
        <v>0.87871521026812316</v>
      </c>
      <c r="I94" s="4">
        <f>K81</f>
        <v>-0.47734639334915707</v>
      </c>
      <c r="J94" s="71">
        <v>0</v>
      </c>
    </row>
    <row r="95" spans="1:22">
      <c r="B95" s="64">
        <f>-D12</f>
        <v>-1320.5369838554852</v>
      </c>
      <c r="C95" s="65">
        <f>-E12</f>
        <v>-903.42795743205681</v>
      </c>
      <c r="D95" s="65">
        <f>-F12</f>
        <v>-600</v>
      </c>
      <c r="E95" s="66">
        <v>1</v>
      </c>
      <c r="G95" s="72">
        <v>0</v>
      </c>
      <c r="H95" s="73">
        <v>0</v>
      </c>
      <c r="I95" s="73">
        <v>0</v>
      </c>
      <c r="J95" s="74">
        <v>1</v>
      </c>
    </row>
    <row r="98" spans="1:10">
      <c r="A98" s="48" t="s">
        <v>59</v>
      </c>
      <c r="B98" s="67">
        <f t="array" ref="B98:E101">MMULT(B92:E95,G92:J95)</f>
        <v>-0.54695654970624552</v>
      </c>
      <c r="C98" s="68">
        <v>-0.39961578195341213</v>
      </c>
      <c r="D98" s="68">
        <v>-0.73562610037110709</v>
      </c>
      <c r="E98" s="69">
        <v>0</v>
      </c>
    </row>
    <row r="99" spans="1:10">
      <c r="B99" s="70">
        <v>0.83716099570718128</v>
      </c>
      <c r="C99" s="4">
        <v>-0.26108773632097521</v>
      </c>
      <c r="D99" s="4">
        <v>-0.48061903958265062</v>
      </c>
      <c r="E99" s="71">
        <v>0</v>
      </c>
    </row>
    <row r="100" spans="1:10">
      <c r="B100" s="70">
        <v>0</v>
      </c>
      <c r="C100" s="4">
        <v>0.87871521026812316</v>
      </c>
      <c r="D100" s="4">
        <v>-0.47734639334915707</v>
      </c>
      <c r="E100" s="71">
        <v>0</v>
      </c>
    </row>
    <row r="101" spans="1:10">
      <c r="B101" s="72">
        <v>-34.038295944437436</v>
      </c>
      <c r="C101" s="73">
        <v>236.35225357595425</v>
      </c>
      <c r="D101" s="73">
        <v>1692.0339850720393</v>
      </c>
      <c r="E101" s="74">
        <v>1</v>
      </c>
    </row>
    <row r="103" spans="1:10">
      <c r="A103" s="47" t="s">
        <v>60</v>
      </c>
      <c r="G103" s="47" t="s">
        <v>65</v>
      </c>
    </row>
    <row r="104" spans="1:10" ht="13" thickBot="1">
      <c r="I104">
        <v>2</v>
      </c>
      <c r="J104">
        <v>3</v>
      </c>
    </row>
    <row r="105" spans="1:10">
      <c r="A105" s="22" t="s">
        <v>3</v>
      </c>
      <c r="B105" s="24">
        <f t="array" ref="B105:E137">MMULT(B25:E57,B98:E101)</f>
        <v>-34.038295944437436</v>
      </c>
      <c r="C105" s="10">
        <v>236.35225357595425</v>
      </c>
      <c r="D105" s="10">
        <v>1692.0339850720393</v>
      </c>
      <c r="E105" s="11">
        <v>1</v>
      </c>
      <c r="H105" s="24" t="s">
        <v>3</v>
      </c>
      <c r="I105" s="10">
        <f>VLOOKUP($H105, $A$105:$E$137, $I$104)</f>
        <v>-34.038295944437436</v>
      </c>
      <c r="J105" s="11">
        <f>VLOOKUP($H105, $A$105:$E$137, $J$104)</f>
        <v>236.35225357595425</v>
      </c>
    </row>
    <row r="106" spans="1:10">
      <c r="A106" s="23" t="s">
        <v>30</v>
      </c>
      <c r="B106" s="6">
        <v>162.97188683535279</v>
      </c>
      <c r="C106" s="4">
        <v>331.02732366635121</v>
      </c>
      <c r="D106" s="4">
        <v>1290.2134653178048</v>
      </c>
      <c r="E106" s="7">
        <v>1</v>
      </c>
      <c r="H106" s="6" t="s">
        <v>15</v>
      </c>
      <c r="I106" s="4">
        <f>VLOOKUP($H106, $A$105:$E$137, $I$104)</f>
        <v>-280.1687433122479</v>
      </c>
      <c r="J106" s="7">
        <f>VLOOKUP($H106, $A$105:$E$137, $J$104)</f>
        <v>56.525151696918783</v>
      </c>
    </row>
    <row r="107" spans="1:10">
      <c r="A107" s="23" t="s">
        <v>31</v>
      </c>
      <c r="B107" s="6">
        <v>162.97188683535279</v>
      </c>
      <c r="C107" s="4">
        <v>199.22004212613277</v>
      </c>
      <c r="D107" s="4">
        <v>1361.8154243201784</v>
      </c>
      <c r="E107" s="7">
        <v>1</v>
      </c>
      <c r="H107" s="6" t="s">
        <v>21</v>
      </c>
      <c r="I107" s="4">
        <f>VLOOKUP($H107, $A$105:$E$137, $I$104)</f>
        <v>-112.73654417081167</v>
      </c>
      <c r="J107" s="7">
        <f>VLOOKUP($H107, $A$105:$E$137, $J$104)</f>
        <v>4.3076044327237355</v>
      </c>
    </row>
    <row r="108" spans="1:10">
      <c r="A108" s="23" t="s">
        <v>32</v>
      </c>
      <c r="B108" s="6">
        <v>218.78261988249824</v>
      </c>
      <c r="C108" s="4">
        <v>225.74995355147391</v>
      </c>
      <c r="D108" s="4">
        <v>1305.9068353472105</v>
      </c>
      <c r="E108" s="7">
        <v>1</v>
      </c>
      <c r="H108" s="6" t="s">
        <v>17</v>
      </c>
      <c r="I108" s="4">
        <f>VLOOKUP($H108, $A$105:$E$137, $I$104)</f>
        <v>-194.78002662674848</v>
      </c>
      <c r="J108" s="7">
        <f>VLOOKUP($H108, $A$105:$E$137, $J$104)</f>
        <v>-55.634762860288049</v>
      </c>
    </row>
    <row r="109" spans="1:10">
      <c r="A109" s="23" t="s">
        <v>34</v>
      </c>
      <c r="B109" s="6">
        <v>5.6843418860808015E-14</v>
      </c>
      <c r="C109" s="4">
        <v>-1.7053025658242404E-13</v>
      </c>
      <c r="D109" s="4">
        <v>1047.4573746999545</v>
      </c>
      <c r="E109" s="7">
        <v>1</v>
      </c>
      <c r="H109" s="6" t="s">
        <v>16</v>
      </c>
      <c r="I109" s="4">
        <f>VLOOKUP($H109, $A$105:$E$137, $I$104)</f>
        <v>140.08437165612401</v>
      </c>
      <c r="J109" s="7">
        <f>VLOOKUP($H109, $A$105:$E$137, $J$104)</f>
        <v>-160.06985738867814</v>
      </c>
    </row>
    <row r="110" spans="1:10">
      <c r="A110" s="23" t="s">
        <v>37</v>
      </c>
      <c r="B110" s="6">
        <v>-29.57798363835397</v>
      </c>
      <c r="C110" s="4">
        <v>94.754065469141665</v>
      </c>
      <c r="D110" s="4">
        <v>1221.8838283666405</v>
      </c>
      <c r="E110" s="7">
        <v>1</v>
      </c>
      <c r="H110" s="6" t="s">
        <v>26</v>
      </c>
      <c r="I110" s="4">
        <f>VLOOKUP($H110, $A$105:$E$137, $I$104)</f>
        <v>222.12785411206085</v>
      </c>
      <c r="J110" s="7">
        <f>VLOOKUP($H110, $A$105:$E$137, $J$104)</f>
        <v>-100.1274900956663</v>
      </c>
    </row>
    <row r="111" spans="1:10">
      <c r="A111" s="23" t="s">
        <v>38</v>
      </c>
      <c r="B111" s="6">
        <v>191.43479239718596</v>
      </c>
      <c r="C111" s="4">
        <v>139.86552368369405</v>
      </c>
      <c r="D111" s="4">
        <v>1304.926509829842</v>
      </c>
      <c r="E111" s="7">
        <v>1</v>
      </c>
      <c r="H111" s="6" t="s">
        <v>27</v>
      </c>
      <c r="I111" s="4">
        <f>VLOOKUP($H111, $A$105:$E$137, $I$104)</f>
        <v>389.56005325349713</v>
      </c>
      <c r="J111" s="7">
        <f>VLOOKUP($H111, $A$105:$E$137, $J$104)</f>
        <v>-152.34503735986141</v>
      </c>
    </row>
    <row r="112" spans="1:10">
      <c r="A112" s="23" t="s">
        <v>39</v>
      </c>
      <c r="B112" s="6">
        <v>193.66494855022771</v>
      </c>
      <c r="C112" s="4">
        <v>25.13066911688162</v>
      </c>
      <c r="D112" s="4">
        <v>1093.7187511446004</v>
      </c>
      <c r="E112" s="7">
        <v>1</v>
      </c>
      <c r="H112" s="6" t="s">
        <v>28</v>
      </c>
      <c r="I112" s="4">
        <f>VLOOKUP($H112, $A$105:$E$137, $I$104)</f>
        <v>635.69050062130759</v>
      </c>
      <c r="J112" s="7">
        <f>VLOOKUP($H112, $A$105:$E$137, $J$104)</f>
        <v>27.482064519174088</v>
      </c>
    </row>
    <row r="113" spans="1:10">
      <c r="A113" s="23" t="s">
        <v>6</v>
      </c>
      <c r="B113" s="6">
        <v>-34.038295944437436</v>
      </c>
      <c r="C113" s="4">
        <v>499.96681665639119</v>
      </c>
      <c r="D113" s="4">
        <v>1548.8300670672922</v>
      </c>
      <c r="E113" s="7">
        <v>1</v>
      </c>
      <c r="H113" s="6" t="s">
        <v>3</v>
      </c>
      <c r="I113" s="4">
        <f>VLOOKUP($H113, $A$105:$E$137, $I$104)</f>
        <v>-34.038295944437436</v>
      </c>
      <c r="J113" s="7">
        <f>VLOOKUP($H113, $A$105:$E$137, $J$104)</f>
        <v>236.35225357595425</v>
      </c>
    </row>
    <row r="114" spans="1:10">
      <c r="A114" s="23" t="s">
        <v>7</v>
      </c>
      <c r="B114" s="6">
        <v>-116.08177840037426</v>
      </c>
      <c r="C114" s="4">
        <v>440.0244493633794</v>
      </c>
      <c r="D114" s="4">
        <v>1438.486152011626</v>
      </c>
      <c r="E114" s="7">
        <v>1</v>
      </c>
      <c r="H114" s="6"/>
      <c r="I114" s="4"/>
      <c r="J114" s="7"/>
    </row>
    <row r="115" spans="1:10">
      <c r="A115" s="23" t="s">
        <v>8</v>
      </c>
      <c r="B115" s="6">
        <v>218.78261988249824</v>
      </c>
      <c r="C115" s="4">
        <v>335.58935483498931</v>
      </c>
      <c r="D115" s="4">
        <v>1246.2385361785659</v>
      </c>
      <c r="E115" s="7">
        <v>1</v>
      </c>
      <c r="H115" s="6" t="s">
        <v>13</v>
      </c>
      <c r="I115" s="4">
        <f>VLOOKUP($H115, $A$105:$E$137, $I$104)</f>
        <v>-116.08177840037426</v>
      </c>
      <c r="J115" s="7">
        <f>VLOOKUP($H115, $A$105:$E$137, $J$104)</f>
        <v>264.28140730975474</v>
      </c>
    </row>
    <row r="116" spans="1:10">
      <c r="A116" s="23" t="s">
        <v>5</v>
      </c>
      <c r="B116" s="6">
        <v>300.82610233843508</v>
      </c>
      <c r="C116" s="4">
        <v>395.53172212800109</v>
      </c>
      <c r="D116" s="4">
        <v>1356.5824512342319</v>
      </c>
      <c r="E116" s="7">
        <v>1</v>
      </c>
      <c r="H116" s="6" t="s">
        <v>14</v>
      </c>
      <c r="I116" s="4">
        <f>VLOOKUP($H116, $A$105:$E$137, $I$104)</f>
        <v>-280.1687433122479</v>
      </c>
      <c r="J116" s="7">
        <f>VLOOKUP($H116, $A$105:$E$137, $J$104)</f>
        <v>144.39667272373111</v>
      </c>
    </row>
    <row r="117" spans="1:10">
      <c r="A117" s="23" t="s">
        <v>9</v>
      </c>
      <c r="B117" s="6">
        <v>412.44756843272592</v>
      </c>
      <c r="C117" s="4">
        <v>250.8806226683557</v>
      </c>
      <c r="D117" s="4">
        <v>1352.1682117918565</v>
      </c>
      <c r="E117" s="7">
        <v>1</v>
      </c>
      <c r="H117" s="6" t="s">
        <v>22</v>
      </c>
      <c r="I117" s="4">
        <f>VLOOKUP($H117, $A$105:$E$137, $I$104)</f>
        <v>-112.73654417081167</v>
      </c>
      <c r="J117" s="7">
        <f>VLOOKUP($H117, $A$105:$E$137, $J$104)</f>
        <v>92.179125459536067</v>
      </c>
    </row>
    <row r="118" spans="1:10">
      <c r="A118" s="23" t="s">
        <v>10</v>
      </c>
      <c r="B118" s="6">
        <v>635.69050062130759</v>
      </c>
      <c r="C118" s="4">
        <v>181.25722631609565</v>
      </c>
      <c r="D118" s="4">
        <v>1224.0031345698162</v>
      </c>
      <c r="E118" s="7">
        <v>1</v>
      </c>
      <c r="H118" s="6" t="s">
        <v>23</v>
      </c>
      <c r="I118" s="4">
        <f>VLOOKUP($H118, $A$105:$E$137, $I$104)</f>
        <v>-194.78002662674848</v>
      </c>
      <c r="J118" s="7">
        <f>VLOOKUP($H118, $A$105:$E$137, $J$104)</f>
        <v>32.236758166524282</v>
      </c>
    </row>
    <row r="119" spans="1:10">
      <c r="A119" s="23" t="s">
        <v>4</v>
      </c>
      <c r="B119" s="6">
        <v>553.64701816537081</v>
      </c>
      <c r="C119" s="4">
        <v>121.31485902308384</v>
      </c>
      <c r="D119" s="4">
        <v>1113.6592195141502</v>
      </c>
      <c r="E119" s="7">
        <v>1</v>
      </c>
      <c r="H119" s="6" t="s">
        <v>24</v>
      </c>
      <c r="I119" s="4">
        <f>VLOOKUP($H119, $A$105:$E$137, $I$104)</f>
        <v>140.08437165612401</v>
      </c>
      <c r="J119" s="7">
        <f>VLOOKUP($H119, $A$105:$E$137, $J$104)</f>
        <v>-72.198336361865813</v>
      </c>
    </row>
    <row r="120" spans="1:10">
      <c r="A120" s="23" t="s">
        <v>11</v>
      </c>
      <c r="B120" s="6">
        <v>330.40408597678908</v>
      </c>
      <c r="C120" s="4">
        <v>190.93825537534389</v>
      </c>
      <c r="D120" s="4">
        <v>1241.8242967361903</v>
      </c>
      <c r="E120" s="7">
        <v>1</v>
      </c>
      <c r="F120" s="48"/>
      <c r="H120" s="6" t="s">
        <v>25</v>
      </c>
      <c r="I120" s="4">
        <f>VLOOKUP($H120, $A$105:$E$137, $I$104)</f>
        <v>222.12785411206085</v>
      </c>
      <c r="J120" s="7">
        <f>VLOOKUP($H120, $A$105:$E$137, $J$104)</f>
        <v>-12.255969068853972</v>
      </c>
    </row>
    <row r="121" spans="1:10">
      <c r="A121" s="23" t="s">
        <v>12</v>
      </c>
      <c r="B121" s="6">
        <v>553.64701816537081</v>
      </c>
      <c r="C121" s="4">
        <v>55.411218252974606</v>
      </c>
      <c r="D121" s="4">
        <v>1149.4601990153369</v>
      </c>
      <c r="E121" s="7">
        <v>1</v>
      </c>
      <c r="H121" s="6" t="s">
        <v>0</v>
      </c>
      <c r="I121" s="4">
        <f>VLOOKUP($H121, $A$105:$E$137, $I$104)</f>
        <v>389.56005325349713</v>
      </c>
      <c r="J121" s="7">
        <f>VLOOKUP($H121, $A$105:$E$137, $J$104)</f>
        <v>-64.473516333049076</v>
      </c>
    </row>
    <row r="122" spans="1:10">
      <c r="A122" s="23" t="s">
        <v>13</v>
      </c>
      <c r="B122" s="6">
        <v>-116.08177840037426</v>
      </c>
      <c r="C122" s="4">
        <v>264.28140730975474</v>
      </c>
      <c r="D122" s="4">
        <v>1533.9554306814575</v>
      </c>
      <c r="E122" s="7">
        <v>1</v>
      </c>
      <c r="H122" s="6" t="s">
        <v>12</v>
      </c>
      <c r="I122" s="4">
        <f>VLOOKUP($H122, $A$105:$E$137, $I$104)</f>
        <v>553.64701816537081</v>
      </c>
      <c r="J122" s="7">
        <f>VLOOKUP($H122, $A$105:$E$137, $J$104)</f>
        <v>55.411218252974606</v>
      </c>
    </row>
    <row r="123" spans="1:10">
      <c r="A123" s="23" t="s">
        <v>14</v>
      </c>
      <c r="B123" s="6">
        <v>-280.1687433122479</v>
      </c>
      <c r="C123" s="4">
        <v>144.39667272373111</v>
      </c>
      <c r="D123" s="4">
        <v>1313.2676005701255</v>
      </c>
      <c r="E123" s="7">
        <v>1</v>
      </c>
      <c r="H123" s="6" t="s">
        <v>13</v>
      </c>
      <c r="I123" s="4">
        <f>VLOOKUP($H123, $A$105:$E$137, $I$104)</f>
        <v>-116.08177840037426</v>
      </c>
      <c r="J123" s="7">
        <f>VLOOKUP($H123, $A$105:$E$137, $J$104)</f>
        <v>264.28140730975474</v>
      </c>
    </row>
    <row r="124" spans="1:10">
      <c r="A124" s="12" t="s">
        <v>15</v>
      </c>
      <c r="B124" s="6">
        <v>-280.1687433122479</v>
      </c>
      <c r="C124" s="4">
        <v>56.525151696918783</v>
      </c>
      <c r="D124" s="4">
        <v>1361.0022399050411</v>
      </c>
      <c r="E124" s="7">
        <v>1</v>
      </c>
      <c r="H124" s="6"/>
      <c r="I124" s="4"/>
      <c r="J124" s="7"/>
    </row>
    <row r="125" spans="1:10">
      <c r="A125" s="13" t="s">
        <v>21</v>
      </c>
      <c r="B125" s="6">
        <v>-112.73654417081167</v>
      </c>
      <c r="C125" s="4">
        <v>4.3076044327237355</v>
      </c>
      <c r="D125" s="4">
        <v>1264.878431988511</v>
      </c>
      <c r="E125" s="7">
        <v>1</v>
      </c>
      <c r="H125" s="6" t="s">
        <v>13</v>
      </c>
      <c r="I125" s="4">
        <f>VLOOKUP($H125, $A$105:$E$137, $I$104)</f>
        <v>-116.08177840037426</v>
      </c>
      <c r="J125" s="7">
        <f>VLOOKUP($H125, $A$105:$E$137, $J$104)</f>
        <v>264.28140730975474</v>
      </c>
    </row>
    <row r="126" spans="1:10">
      <c r="A126" s="13" t="s">
        <v>22</v>
      </c>
      <c r="B126" s="6">
        <v>-112.73654417081167</v>
      </c>
      <c r="C126" s="4">
        <v>92.179125459536067</v>
      </c>
      <c r="D126" s="4">
        <v>1217.1437926535953</v>
      </c>
      <c r="E126" s="7">
        <v>1</v>
      </c>
      <c r="H126" s="6" t="s">
        <v>7</v>
      </c>
      <c r="I126" s="4">
        <f>VLOOKUP($H126, $A$105:$E$137, $I$104)</f>
        <v>-116.08177840037426</v>
      </c>
      <c r="J126" s="7">
        <f>VLOOKUP($H126, $A$105:$E$137, $J$104)</f>
        <v>440.0244493633794</v>
      </c>
    </row>
    <row r="127" spans="1:10">
      <c r="A127" s="13" t="s">
        <v>23</v>
      </c>
      <c r="B127" s="6">
        <v>-194.78002662674848</v>
      </c>
      <c r="C127" s="4">
        <v>32.236758166524282</v>
      </c>
      <c r="D127" s="4">
        <v>1106.799877597929</v>
      </c>
      <c r="E127" s="7">
        <v>1</v>
      </c>
      <c r="H127" s="6" t="s">
        <v>8</v>
      </c>
      <c r="I127" s="4">
        <f>VLOOKUP($H127, $A$105:$E$137, $I$104)</f>
        <v>218.78261988249824</v>
      </c>
      <c r="J127" s="7">
        <f>VLOOKUP($H127, $A$105:$E$137, $J$104)</f>
        <v>335.58935483498931</v>
      </c>
    </row>
    <row r="128" spans="1:10">
      <c r="A128" s="13" t="s">
        <v>17</v>
      </c>
      <c r="B128" s="6">
        <v>-194.78002662674848</v>
      </c>
      <c r="C128" s="4">
        <v>-55.634762860288049</v>
      </c>
      <c r="D128" s="4">
        <v>1154.5345169328448</v>
      </c>
      <c r="E128" s="7">
        <v>1</v>
      </c>
      <c r="H128" s="6" t="s">
        <v>29</v>
      </c>
      <c r="I128" s="4">
        <f>VLOOKUP($H128, $A$105:$E$137, $I$104)</f>
        <v>330.40408597678908</v>
      </c>
      <c r="J128" s="7">
        <f>VLOOKUP($H128, $A$105:$E$137, $J$104)</f>
        <v>190.93825537534389</v>
      </c>
    </row>
    <row r="129" spans="1:10">
      <c r="A129" s="13" t="s">
        <v>16</v>
      </c>
      <c r="B129" s="6">
        <v>140.08437165612401</v>
      </c>
      <c r="C129" s="4">
        <v>-160.06985738867814</v>
      </c>
      <c r="D129" s="4">
        <v>962.2869010997847</v>
      </c>
      <c r="E129" s="7">
        <v>1</v>
      </c>
      <c r="H129" s="6" t="s">
        <v>4</v>
      </c>
      <c r="I129" s="4">
        <f>VLOOKUP($H129, $A$105:$E$137, $I$104)</f>
        <v>553.64701816537081</v>
      </c>
      <c r="J129" s="7">
        <f>VLOOKUP($H129, $A$105:$E$137, $J$104)</f>
        <v>121.31485902308384</v>
      </c>
    </row>
    <row r="130" spans="1:10">
      <c r="A130" s="13" t="s">
        <v>24</v>
      </c>
      <c r="B130" s="6">
        <v>140.08437165612401</v>
      </c>
      <c r="C130" s="4">
        <v>-72.198336361865813</v>
      </c>
      <c r="D130" s="4">
        <v>914.55226176486894</v>
      </c>
      <c r="E130" s="7">
        <v>1</v>
      </c>
      <c r="H130" s="6" t="s">
        <v>12</v>
      </c>
      <c r="I130" s="4">
        <f>VLOOKUP($H130, $A$105:$E$137, $I$104)</f>
        <v>553.64701816537081</v>
      </c>
      <c r="J130" s="7">
        <f>VLOOKUP($H130, $A$105:$E$137, $J$104)</f>
        <v>55.411218252974606</v>
      </c>
    </row>
    <row r="131" spans="1:10">
      <c r="A131" s="13" t="s">
        <v>25</v>
      </c>
      <c r="B131" s="6">
        <v>222.12785411206085</v>
      </c>
      <c r="C131" s="4">
        <v>-12.255969068853972</v>
      </c>
      <c r="D131" s="4">
        <v>1024.8961768205349</v>
      </c>
      <c r="E131" s="7">
        <v>1</v>
      </c>
      <c r="H131" s="6"/>
      <c r="I131" s="4"/>
      <c r="J131" s="7"/>
    </row>
    <row r="132" spans="1:10">
      <c r="A132" s="13" t="s">
        <v>26</v>
      </c>
      <c r="B132" s="6">
        <v>222.12785411206085</v>
      </c>
      <c r="C132" s="4">
        <v>-100.1274900956663</v>
      </c>
      <c r="D132" s="4">
        <v>1072.6308161554507</v>
      </c>
      <c r="E132" s="7">
        <v>1</v>
      </c>
      <c r="H132" s="6" t="s">
        <v>3</v>
      </c>
      <c r="I132" s="4">
        <f>VLOOKUP($H132, $A$105:$E$137, $I$104)</f>
        <v>-34.038295944437436</v>
      </c>
      <c r="J132" s="7">
        <f>VLOOKUP($H132, $A$105:$E$137, $J$104)</f>
        <v>236.35225357595425</v>
      </c>
    </row>
    <row r="133" spans="1:10">
      <c r="A133" s="13" t="s">
        <v>27</v>
      </c>
      <c r="B133" s="6">
        <v>389.56005325349713</v>
      </c>
      <c r="C133" s="4">
        <v>-152.34503735986141</v>
      </c>
      <c r="D133" s="4">
        <v>976.50700823892066</v>
      </c>
      <c r="E133" s="7">
        <v>1</v>
      </c>
      <c r="H133" s="6" t="s">
        <v>6</v>
      </c>
      <c r="I133" s="4">
        <f>VLOOKUP($H133, $A$105:$E$137, $I$104)</f>
        <v>-34.038295944437436</v>
      </c>
      <c r="J133" s="7">
        <f>VLOOKUP($H133, $A$105:$E$137, $J$104)</f>
        <v>499.96681665639119</v>
      </c>
    </row>
    <row r="134" spans="1:10">
      <c r="A134" s="13" t="s">
        <v>28</v>
      </c>
      <c r="B134" s="6">
        <v>635.69050062130759</v>
      </c>
      <c r="C134" s="4">
        <v>27.482064519174088</v>
      </c>
      <c r="D134" s="4">
        <v>1307.5387534059187</v>
      </c>
      <c r="E134" s="7">
        <v>1</v>
      </c>
      <c r="H134" s="6" t="s">
        <v>5</v>
      </c>
      <c r="I134" s="4">
        <f>VLOOKUP($H134, $A$105:$E$137, $I$104)</f>
        <v>300.82610233843508</v>
      </c>
      <c r="J134" s="7">
        <f>VLOOKUP($H134, $A$105:$E$137, $J$104)</f>
        <v>395.53172212800109</v>
      </c>
    </row>
    <row r="135" spans="1:10">
      <c r="A135" s="14" t="s">
        <v>0</v>
      </c>
      <c r="B135" s="6">
        <v>389.56005325349713</v>
      </c>
      <c r="C135" s="4">
        <v>-64.473516333049076</v>
      </c>
      <c r="D135" s="4">
        <v>928.77236890400491</v>
      </c>
      <c r="E135" s="7">
        <v>1</v>
      </c>
      <c r="H135" s="6" t="s">
        <v>9</v>
      </c>
      <c r="I135" s="4">
        <f>VLOOKUP($H135, $A$105:$E$137, $I$104)</f>
        <v>412.44756843272592</v>
      </c>
      <c r="J135" s="7">
        <f>VLOOKUP($H135, $A$105:$E$137, $J$104)</f>
        <v>250.8806226683557</v>
      </c>
    </row>
    <row r="136" spans="1:10">
      <c r="A136" s="14" t="s">
        <v>1</v>
      </c>
      <c r="B136" s="6">
        <v>-60.271045353228843</v>
      </c>
      <c r="C136" s="4">
        <v>400.65072001861131</v>
      </c>
      <c r="D136" s="4">
        <v>1418.3785425398451</v>
      </c>
      <c r="E136" s="7">
        <v>1</v>
      </c>
      <c r="H136" s="6" t="s">
        <v>10</v>
      </c>
      <c r="I136" s="4">
        <f>VLOOKUP($H136, $A$105:$E$137, $I$104)</f>
        <v>635.69050062130759</v>
      </c>
      <c r="J136" s="7">
        <f>VLOOKUP($H136, $A$105:$E$137, $J$104)</f>
        <v>181.25722631609565</v>
      </c>
    </row>
    <row r="137" spans="1:10" ht="13" thickBot="1">
      <c r="A137" s="16" t="s">
        <v>2</v>
      </c>
      <c r="B137" s="28">
        <v>-60.271045353228843</v>
      </c>
      <c r="C137" s="8">
        <v>312.77919899179898</v>
      </c>
      <c r="D137" s="8">
        <v>1466.1131818747608</v>
      </c>
      <c r="E137" s="9">
        <v>1</v>
      </c>
      <c r="H137" s="6" t="s">
        <v>28</v>
      </c>
      <c r="I137" s="4">
        <f>VLOOKUP($H137, $A$105:$E$137, $I$104)</f>
        <v>635.69050062130759</v>
      </c>
      <c r="J137" s="7">
        <f>VLOOKUP($H137, $A$105:$E$137, $J$104)</f>
        <v>27.482064519174088</v>
      </c>
    </row>
    <row r="138" spans="1:10">
      <c r="H138" s="6"/>
      <c r="I138" s="4"/>
      <c r="J138" s="7"/>
    </row>
    <row r="139" spans="1:10">
      <c r="H139" s="6" t="s">
        <v>7</v>
      </c>
      <c r="I139" s="4">
        <f>VLOOKUP($H139, $A$105:$E$137, $I$104)</f>
        <v>-116.08177840037426</v>
      </c>
      <c r="J139" s="7">
        <f>VLOOKUP($H139, $A$105:$E$137, $J$104)</f>
        <v>440.0244493633794</v>
      </c>
    </row>
    <row r="140" spans="1:10">
      <c r="H140" s="6" t="s">
        <v>6</v>
      </c>
      <c r="I140" s="4">
        <f>VLOOKUP($H140, $A$105:$E$137, $I$104)</f>
        <v>-34.038295944437436</v>
      </c>
      <c r="J140" s="7">
        <f>VLOOKUP($H140, $A$105:$E$137, $J$104)</f>
        <v>499.96681665639119</v>
      </c>
    </row>
    <row r="141" spans="1:10">
      <c r="H141" s="6"/>
      <c r="I141" s="4"/>
      <c r="J141" s="7"/>
    </row>
    <row r="142" spans="1:10">
      <c r="H142" s="6" t="s">
        <v>8</v>
      </c>
      <c r="I142" s="4">
        <f>VLOOKUP($H142, $A$105:$E$137, $I$104)</f>
        <v>218.78261988249824</v>
      </c>
      <c r="J142" s="7">
        <f>VLOOKUP($H142, $A$105:$E$137, $J$104)</f>
        <v>335.58935483498931</v>
      </c>
    </row>
    <row r="143" spans="1:10">
      <c r="H143" s="6" t="s">
        <v>5</v>
      </c>
      <c r="I143" s="4">
        <f>VLOOKUP($H143, $A$105:$E$137, $I$104)</f>
        <v>300.82610233843508</v>
      </c>
      <c r="J143" s="7">
        <f>VLOOKUP($H143, $A$105:$E$137, $J$104)</f>
        <v>395.53172212800109</v>
      </c>
    </row>
    <row r="144" spans="1:10">
      <c r="H144" s="6"/>
      <c r="I144" s="4"/>
      <c r="J144" s="7"/>
    </row>
    <row r="145" spans="8:10">
      <c r="H145" s="6" t="s">
        <v>29</v>
      </c>
      <c r="I145" s="4">
        <f>VLOOKUP($H145, $A$105:$E$137, $I$104)</f>
        <v>330.40408597678908</v>
      </c>
      <c r="J145" s="7">
        <f>VLOOKUP($H145, $A$105:$E$137, $J$104)</f>
        <v>190.93825537534389</v>
      </c>
    </row>
    <row r="146" spans="8:10">
      <c r="H146" s="6" t="s">
        <v>9</v>
      </c>
      <c r="I146" s="4">
        <f>VLOOKUP($H146, $A$105:$E$137, $I$104)</f>
        <v>412.44756843272592</v>
      </c>
      <c r="J146" s="7">
        <f>VLOOKUP($H146, $A$105:$E$137, $J$104)</f>
        <v>250.8806226683557</v>
      </c>
    </row>
    <row r="147" spans="8:10">
      <c r="H147" s="6"/>
      <c r="I147" s="4"/>
      <c r="J147" s="7"/>
    </row>
    <row r="148" spans="8:10">
      <c r="H148" s="6" t="s">
        <v>4</v>
      </c>
      <c r="I148" s="4">
        <f>VLOOKUP($H148, $A$105:$E$137, $I$104)</f>
        <v>553.64701816537081</v>
      </c>
      <c r="J148" s="7">
        <f>VLOOKUP($H148, $A$105:$E$137, $J$104)</f>
        <v>121.31485902308384</v>
      </c>
    </row>
    <row r="149" spans="8:10">
      <c r="H149" s="6" t="s">
        <v>10</v>
      </c>
      <c r="I149" s="4">
        <f>VLOOKUP($H149, $A$105:$E$137, $I$104)</f>
        <v>635.69050062130759</v>
      </c>
      <c r="J149" s="7">
        <f>VLOOKUP($H149, $A$105:$E$137, $J$104)</f>
        <v>181.25722631609565</v>
      </c>
    </row>
    <row r="150" spans="8:10">
      <c r="H150" s="6"/>
      <c r="I150" s="4"/>
      <c r="J150" s="7"/>
    </row>
    <row r="151" spans="8:10">
      <c r="H151" s="6" t="s">
        <v>1</v>
      </c>
      <c r="I151" s="4">
        <f>VLOOKUP($H151, $A$105:$E$137, $I$104)</f>
        <v>-60.271045353228843</v>
      </c>
      <c r="J151" s="7">
        <f>VLOOKUP($H151, $A$105:$E$137, $J$104)</f>
        <v>400.65072001861131</v>
      </c>
    </row>
    <row r="152" spans="8:10">
      <c r="H152" s="6" t="s">
        <v>2</v>
      </c>
      <c r="I152" s="4">
        <f>VLOOKUP($H152, $A$105:$E$137, $I$104)</f>
        <v>-60.271045353228843</v>
      </c>
      <c r="J152" s="7">
        <f>VLOOKUP($H152, $A$105:$E$137, $J$104)</f>
        <v>312.77919899179898</v>
      </c>
    </row>
    <row r="153" spans="8:10">
      <c r="H153" s="6" t="s">
        <v>32</v>
      </c>
      <c r="I153" s="4">
        <f>VLOOKUP($H153, $A$105:$E$137, $I$104)</f>
        <v>218.78261988249824</v>
      </c>
      <c r="J153" s="7">
        <f>VLOOKUP($H153, $A$105:$E$137, $J$104)</f>
        <v>225.74995355147391</v>
      </c>
    </row>
    <row r="154" spans="8:10">
      <c r="H154" s="6"/>
      <c r="I154" s="4"/>
      <c r="J154" s="7"/>
    </row>
    <row r="155" spans="8:10">
      <c r="H155" s="6" t="s">
        <v>30</v>
      </c>
      <c r="I155" s="4">
        <f>VLOOKUP($H155, $A$105:$E$137, $I$104)</f>
        <v>162.97188683535279</v>
      </c>
      <c r="J155" s="7">
        <f>VLOOKUP($H155, $A$105:$E$137, $J$104)</f>
        <v>331.02732366635121</v>
      </c>
    </row>
    <row r="156" spans="8:10">
      <c r="H156" s="6" t="s">
        <v>31</v>
      </c>
      <c r="I156" s="4">
        <f>VLOOKUP($H156, $A$105:$E$137, $I$104)</f>
        <v>162.97188683535279</v>
      </c>
      <c r="J156" s="7">
        <f>VLOOKUP($H156, $A$105:$E$137, $J$104)</f>
        <v>199.22004212613277</v>
      </c>
    </row>
    <row r="157" spans="8:10">
      <c r="H157" s="6"/>
      <c r="I157" s="4"/>
      <c r="J157" s="7"/>
    </row>
    <row r="158" spans="8:10">
      <c r="H158" s="6" t="s">
        <v>39</v>
      </c>
      <c r="I158" s="4">
        <f>VLOOKUP($H158, $A$105:$E$137, $I$104)</f>
        <v>193.66494855022771</v>
      </c>
      <c r="J158" s="7">
        <f>VLOOKUP($H158, $A$105:$E$137, $J$104)</f>
        <v>25.13066911688162</v>
      </c>
    </row>
    <row r="159" spans="8:10">
      <c r="H159" s="6" t="s">
        <v>34</v>
      </c>
      <c r="I159" s="4">
        <f>VLOOKUP($H159, $A$105:$E$137, $I$104)</f>
        <v>5.6843418860808015E-14</v>
      </c>
      <c r="J159" s="7">
        <f>VLOOKUP($H159, $A$105:$E$137, $J$104)</f>
        <v>-1.7053025658242404E-13</v>
      </c>
    </row>
    <row r="160" spans="8:10">
      <c r="H160" s="6"/>
      <c r="I160" s="4"/>
      <c r="J160" s="7"/>
    </row>
    <row r="161" spans="8:10">
      <c r="H161" s="6" t="s">
        <v>37</v>
      </c>
      <c r="I161" s="4">
        <f>VLOOKUP($H161, $A$105:$E$137, $I$104)</f>
        <v>-29.57798363835397</v>
      </c>
      <c r="J161" s="7">
        <f>VLOOKUP($H161, $A$105:$E$137, $J$104)</f>
        <v>94.754065469141665</v>
      </c>
    </row>
    <row r="162" spans="8:10">
      <c r="H162" s="6" t="s">
        <v>34</v>
      </c>
      <c r="I162" s="4">
        <f>VLOOKUP($H162, $A$105:$E$137, $I$104)</f>
        <v>5.6843418860808015E-14</v>
      </c>
      <c r="J162" s="7">
        <f>VLOOKUP($H162, $A$105:$E$137, $J$104)</f>
        <v>-1.7053025658242404E-13</v>
      </c>
    </row>
    <row r="163" spans="8:10">
      <c r="H163" s="6"/>
      <c r="I163" s="4"/>
      <c r="J163" s="7"/>
    </row>
    <row r="164" spans="8:10">
      <c r="H164" s="6" t="s">
        <v>34</v>
      </c>
      <c r="I164" s="4">
        <f>VLOOKUP($H164, $A$105:$E$137, $I$104)</f>
        <v>5.6843418860808015E-14</v>
      </c>
      <c r="J164" s="7">
        <f>VLOOKUP($H164, $A$105:$E$137, $J$104)</f>
        <v>-1.7053025658242404E-13</v>
      </c>
    </row>
    <row r="165" spans="8:10">
      <c r="H165" s="6" t="s">
        <v>38</v>
      </c>
      <c r="I165" s="4">
        <f>VLOOKUP($H165, $A$105:$E$137, $I$104)</f>
        <v>191.43479239718596</v>
      </c>
      <c r="J165" s="7">
        <f>VLOOKUP($H165, $A$105:$E$137, $J$104)</f>
        <v>139.86552368369405</v>
      </c>
    </row>
    <row r="166" spans="8:10">
      <c r="H166" s="6"/>
      <c r="I166" s="4"/>
      <c r="J166" s="7"/>
    </row>
    <row r="167" spans="8:10">
      <c r="H167" s="6" t="s">
        <v>14</v>
      </c>
      <c r="I167" s="4">
        <f>VLOOKUP($H167, $A$105:$E$137, $I$104)</f>
        <v>-280.1687433122479</v>
      </c>
      <c r="J167" s="7">
        <f>VLOOKUP($H167, $A$105:$E$137, $J$104)</f>
        <v>144.39667272373111</v>
      </c>
    </row>
    <row r="168" spans="8:10">
      <c r="H168" s="6" t="s">
        <v>15</v>
      </c>
      <c r="I168" s="4">
        <f>VLOOKUP($H168, $A$105:$E$137, $I$104)</f>
        <v>-280.1687433122479</v>
      </c>
      <c r="J168" s="7">
        <f>VLOOKUP($H168, $A$105:$E$137, $J$104)</f>
        <v>56.525151696918783</v>
      </c>
    </row>
    <row r="169" spans="8:10">
      <c r="H169" s="6"/>
      <c r="I169" s="4"/>
      <c r="J169" s="7"/>
    </row>
    <row r="170" spans="8:10">
      <c r="H170" s="6" t="s">
        <v>22</v>
      </c>
      <c r="I170" s="4">
        <f>VLOOKUP($H170, $A$105:$E$137, $I$104)</f>
        <v>-112.73654417081167</v>
      </c>
      <c r="J170" s="7">
        <f>VLOOKUP($H170, $A$105:$E$137, $J$104)</f>
        <v>92.179125459536067</v>
      </c>
    </row>
    <row r="171" spans="8:10">
      <c r="H171" s="6" t="s">
        <v>21</v>
      </c>
      <c r="I171" s="4">
        <f>VLOOKUP($H171, $A$105:$E$137, $I$104)</f>
        <v>-112.73654417081167</v>
      </c>
      <c r="J171" s="7">
        <f>VLOOKUP($H171, $A$105:$E$137, $J$104)</f>
        <v>4.3076044327237355</v>
      </c>
    </row>
    <row r="172" spans="8:10">
      <c r="H172" s="6"/>
      <c r="I172" s="4"/>
      <c r="J172" s="7"/>
    </row>
    <row r="173" spans="8:10">
      <c r="H173" s="6" t="s">
        <v>23</v>
      </c>
      <c r="I173" s="4">
        <f>VLOOKUP($H173, $A$105:$E$137, $I$104)</f>
        <v>-194.78002662674848</v>
      </c>
      <c r="J173" s="7">
        <f>VLOOKUP($H173, $A$105:$E$137, $J$104)</f>
        <v>32.236758166524282</v>
      </c>
    </row>
    <row r="174" spans="8:10">
      <c r="H174" s="6" t="s">
        <v>17</v>
      </c>
      <c r="I174" s="4">
        <f>VLOOKUP($H174, $A$105:$E$137, $I$104)</f>
        <v>-194.78002662674848</v>
      </c>
      <c r="J174" s="7">
        <f>VLOOKUP($H174, $A$105:$E$137, $J$104)</f>
        <v>-55.634762860288049</v>
      </c>
    </row>
    <row r="175" spans="8:10">
      <c r="H175" s="6"/>
      <c r="I175" s="4"/>
      <c r="J175" s="7"/>
    </row>
    <row r="176" spans="8:10">
      <c r="H176" s="6" t="s">
        <v>24</v>
      </c>
      <c r="I176" s="4">
        <f>VLOOKUP($H176, $A$105:$E$137, $I$104)</f>
        <v>140.08437165612401</v>
      </c>
      <c r="J176" s="7">
        <f>VLOOKUP($H176, $A$105:$E$137, $J$104)</f>
        <v>-72.198336361865813</v>
      </c>
    </row>
    <row r="177" spans="1:10">
      <c r="H177" s="6" t="s">
        <v>16</v>
      </c>
      <c r="I177" s="4">
        <f>VLOOKUP($H177, $A$105:$E$137, $I$104)</f>
        <v>140.08437165612401</v>
      </c>
      <c r="J177" s="7">
        <f>VLOOKUP($H177, $A$105:$E$137, $J$104)</f>
        <v>-160.06985738867814</v>
      </c>
    </row>
    <row r="178" spans="1:10">
      <c r="H178" s="6"/>
      <c r="I178" s="4"/>
      <c r="J178" s="7"/>
    </row>
    <row r="179" spans="1:10">
      <c r="H179" s="6" t="s">
        <v>25</v>
      </c>
      <c r="I179" s="4">
        <f>VLOOKUP($H179, $A$105:$E$137, $I$104)</f>
        <v>222.12785411206085</v>
      </c>
      <c r="J179" s="7">
        <f>VLOOKUP($H179, $A$105:$E$137, $J$104)</f>
        <v>-12.255969068853972</v>
      </c>
    </row>
    <row r="180" spans="1:10">
      <c r="H180" s="6" t="s">
        <v>26</v>
      </c>
      <c r="I180" s="4">
        <f>VLOOKUP($H180, $A$105:$E$137, $I$104)</f>
        <v>222.12785411206085</v>
      </c>
      <c r="J180" s="7">
        <f>VLOOKUP($H180, $A$105:$E$137, $J$104)</f>
        <v>-100.1274900956663</v>
      </c>
    </row>
    <row r="181" spans="1:10">
      <c r="H181" s="6"/>
      <c r="I181" s="4"/>
      <c r="J181" s="7"/>
    </row>
    <row r="182" spans="1:10">
      <c r="H182" s="6" t="s">
        <v>0</v>
      </c>
      <c r="I182" s="4">
        <f>VLOOKUP($H182, $A$105:$E$137, $I$104)</f>
        <v>389.56005325349713</v>
      </c>
      <c r="J182" s="7">
        <f>VLOOKUP($H182, $A$105:$E$137, $J$104)</f>
        <v>-64.473516333049076</v>
      </c>
    </row>
    <row r="183" spans="1:10" ht="13" thickBot="1">
      <c r="H183" s="28" t="s">
        <v>27</v>
      </c>
      <c r="I183" s="8">
        <f>VLOOKUP($H183, $A$105:$E$137, $I$104)</f>
        <v>389.56005325349713</v>
      </c>
      <c r="J183" s="9">
        <f>VLOOKUP($H183, $A$105:$E$137, $J$104)</f>
        <v>-152.34503735986141</v>
      </c>
    </row>
    <row r="185" spans="1:10">
      <c r="A185" s="47" t="s">
        <v>61</v>
      </c>
    </row>
    <row r="187" spans="1:10">
      <c r="B187" s="58" t="s">
        <v>26</v>
      </c>
      <c r="C187" s="58" t="s">
        <v>27</v>
      </c>
      <c r="D187" s="58" t="s">
        <v>21</v>
      </c>
      <c r="E187" s="5"/>
      <c r="F187" s="58" t="s">
        <v>40</v>
      </c>
    </row>
    <row r="188" spans="1:10">
      <c r="A188" s="48" t="s">
        <v>63</v>
      </c>
      <c r="B188">
        <v>0</v>
      </c>
      <c r="C188">
        <v>0</v>
      </c>
      <c r="D188">
        <v>-10</v>
      </c>
      <c r="F188" s="58">
        <f>SQRT(SUMSQ(B188:D188))</f>
        <v>10</v>
      </c>
    </row>
    <row r="189" spans="1:10" ht="13" thickBot="1"/>
    <row r="190" spans="1:10">
      <c r="A190" s="48" t="s">
        <v>62</v>
      </c>
      <c r="B190" s="24">
        <v>1</v>
      </c>
      <c r="C190" s="10">
        <v>0</v>
      </c>
      <c r="D190" s="10">
        <v>0</v>
      </c>
      <c r="E190" s="11">
        <v>0</v>
      </c>
      <c r="F190" s="58"/>
    </row>
    <row r="191" spans="1:10">
      <c r="A191" s="48"/>
      <c r="B191" s="6">
        <v>0</v>
      </c>
      <c r="C191" s="4">
        <v>1</v>
      </c>
      <c r="D191" s="4">
        <v>0</v>
      </c>
      <c r="E191" s="7">
        <v>0</v>
      </c>
      <c r="F191" s="58"/>
    </row>
    <row r="192" spans="1:10">
      <c r="A192" s="48"/>
      <c r="B192" s="6">
        <f>-(B188/D188)</f>
        <v>0</v>
      </c>
      <c r="C192" s="4">
        <f>-(C188/D188)</f>
        <v>0</v>
      </c>
      <c r="D192" s="4">
        <v>1</v>
      </c>
      <c r="E192" s="7">
        <f>-(1/D188)</f>
        <v>0.1</v>
      </c>
      <c r="F192" s="58"/>
    </row>
    <row r="193" spans="1:10" ht="13" thickBot="1">
      <c r="A193" s="48"/>
      <c r="B193" s="28">
        <v>0</v>
      </c>
      <c r="C193" s="8">
        <v>0</v>
      </c>
      <c r="D193" s="8">
        <v>0</v>
      </c>
      <c r="E193" s="9">
        <v>1</v>
      </c>
      <c r="F193" s="58"/>
    </row>
    <row r="194" spans="1:10" ht="13" thickBot="1"/>
    <row r="195" spans="1:10">
      <c r="A195" s="48"/>
      <c r="B195" s="24">
        <f t="array" ref="B195:E227">MMULT(B105:E137,B190:E193)</f>
        <v>-34.038295944437436</v>
      </c>
      <c r="C195" s="10">
        <v>236.35225357595425</v>
      </c>
      <c r="D195" s="10">
        <v>1692.0339850720393</v>
      </c>
      <c r="E195" s="11">
        <v>170.20339850720393</v>
      </c>
      <c r="F195" s="22" t="s">
        <v>3</v>
      </c>
      <c r="G195" s="24">
        <f>B195/$E195</f>
        <v>-0.19998599465683847</v>
      </c>
      <c r="H195" s="10">
        <f>C195/$E195</f>
        <v>1.3886459121787191</v>
      </c>
      <c r="I195" s="10">
        <f>D195/$E195</f>
        <v>9.9412467665880548</v>
      </c>
      <c r="J195" s="11">
        <f>E195/$E195</f>
        <v>1</v>
      </c>
    </row>
    <row r="196" spans="1:10">
      <c r="B196" s="6">
        <v>162.97188683535279</v>
      </c>
      <c r="C196" s="4">
        <v>331.02732366635121</v>
      </c>
      <c r="D196" s="4">
        <v>1290.2134653178048</v>
      </c>
      <c r="E196" s="7">
        <v>130.02134653178049</v>
      </c>
      <c r="F196" s="23" t="s">
        <v>30</v>
      </c>
      <c r="G196" s="6">
        <f>B196/$E196</f>
        <v>1.2534240813720412</v>
      </c>
      <c r="H196" s="4">
        <f>C196/$E196</f>
        <v>2.5459459734593639</v>
      </c>
      <c r="I196" s="4">
        <f>D196/$E196</f>
        <v>9.923089552087081</v>
      </c>
      <c r="J196" s="7">
        <f>E196/$E196</f>
        <v>1</v>
      </c>
    </row>
    <row r="197" spans="1:10">
      <c r="B197" s="6">
        <v>162.97188683535279</v>
      </c>
      <c r="C197" s="4">
        <v>199.22004212613277</v>
      </c>
      <c r="D197" s="4">
        <v>1361.8154243201784</v>
      </c>
      <c r="E197" s="7">
        <v>137.18154243201784</v>
      </c>
      <c r="F197" s="23" t="s">
        <v>31</v>
      </c>
      <c r="G197" s="6">
        <f>B197/$E197</f>
        <v>1.1880015630828449</v>
      </c>
      <c r="H197" s="4">
        <f>C197/$E197</f>
        <v>1.4522364932939791</v>
      </c>
      <c r="I197" s="4">
        <f>D197/$E197</f>
        <v>9.9271038958834019</v>
      </c>
      <c r="J197" s="7">
        <f>E197/$E197</f>
        <v>1</v>
      </c>
    </row>
    <row r="198" spans="1:10">
      <c r="B198" s="6">
        <v>218.78261988249824</v>
      </c>
      <c r="C198" s="4">
        <v>225.74995355147391</v>
      </c>
      <c r="D198" s="4">
        <v>1305.9068353472105</v>
      </c>
      <c r="E198" s="7">
        <v>131.59068353472105</v>
      </c>
      <c r="F198" s="23" t="s">
        <v>32</v>
      </c>
      <c r="G198" s="6">
        <f>B198/$E198</f>
        <v>1.662599615760572</v>
      </c>
      <c r="H198" s="4">
        <f>C198/$E198</f>
        <v>1.7155466290431445</v>
      </c>
      <c r="I198" s="4">
        <f>D198/$E198</f>
        <v>9.924006778205074</v>
      </c>
      <c r="J198" s="7">
        <f>E198/$E198</f>
        <v>1</v>
      </c>
    </row>
    <row r="199" spans="1:10">
      <c r="B199" s="6">
        <v>5.6843418860808015E-14</v>
      </c>
      <c r="C199" s="4">
        <v>-1.7053025658242404E-13</v>
      </c>
      <c r="D199" s="4">
        <v>1047.4573746999545</v>
      </c>
      <c r="E199" s="7">
        <v>105.74573746999545</v>
      </c>
      <c r="F199" s="23" t="s">
        <v>34</v>
      </c>
      <c r="G199" s="6">
        <f>B199/$E199</f>
        <v>5.3754808676743968E-16</v>
      </c>
      <c r="H199" s="4">
        <f>C199/$E199</f>
        <v>-1.6126442603023192E-15</v>
      </c>
      <c r="I199" s="4">
        <f>D199/$E199</f>
        <v>9.9054335404976737</v>
      </c>
      <c r="J199" s="7">
        <f>E199/$E199</f>
        <v>1</v>
      </c>
    </row>
    <row r="200" spans="1:10">
      <c r="B200" s="6">
        <v>-29.57798363835397</v>
      </c>
      <c r="C200" s="4">
        <v>94.754065469141665</v>
      </c>
      <c r="D200" s="4">
        <v>1221.8838283666405</v>
      </c>
      <c r="E200" s="7">
        <v>123.18838283666406</v>
      </c>
      <c r="F200" s="23" t="s">
        <v>37</v>
      </c>
      <c r="G200" s="6">
        <f>B200/$E200</f>
        <v>-0.24010367663947282</v>
      </c>
      <c r="H200" s="4">
        <f>C200/$E200</f>
        <v>0.76918020423059241</v>
      </c>
      <c r="I200" s="4">
        <f>D200/$E200</f>
        <v>9.9188235142817067</v>
      </c>
      <c r="J200" s="7">
        <f>E200/$E200</f>
        <v>1</v>
      </c>
    </row>
    <row r="201" spans="1:10">
      <c r="B201" s="6">
        <v>191.43479239718596</v>
      </c>
      <c r="C201" s="4">
        <v>139.86552368369405</v>
      </c>
      <c r="D201" s="4">
        <v>1304.926509829842</v>
      </c>
      <c r="E201" s="7">
        <v>131.4926509829842</v>
      </c>
      <c r="F201" s="23" t="s">
        <v>38</v>
      </c>
      <c r="G201" s="6">
        <f>B201/$E201</f>
        <v>1.4558592511908408</v>
      </c>
      <c r="H201" s="4">
        <f>C201/$E201</f>
        <v>1.0636755943249889</v>
      </c>
      <c r="I201" s="4">
        <f>D201/$E201</f>
        <v>9.9239501224954836</v>
      </c>
      <c r="J201" s="7">
        <f>E201/$E201</f>
        <v>1</v>
      </c>
    </row>
    <row r="202" spans="1:10">
      <c r="B202" s="6">
        <v>193.66494855022771</v>
      </c>
      <c r="C202" s="4">
        <v>25.13066911688162</v>
      </c>
      <c r="D202" s="4">
        <v>1093.7187511446004</v>
      </c>
      <c r="E202" s="7">
        <v>110.37187511446005</v>
      </c>
      <c r="F202" s="23" t="s">
        <v>39</v>
      </c>
      <c r="G202" s="6">
        <f>B202/$E202</f>
        <v>1.7546584974604209</v>
      </c>
      <c r="H202" s="4">
        <f>C202/$E202</f>
        <v>0.22769087768799895</v>
      </c>
      <c r="I202" s="4">
        <f>D202/$E202</f>
        <v>9.909397208395438</v>
      </c>
      <c r="J202" s="7">
        <f>E202/$E202</f>
        <v>1</v>
      </c>
    </row>
    <row r="203" spans="1:10">
      <c r="B203" s="6">
        <v>-34.038295944437436</v>
      </c>
      <c r="C203" s="4">
        <v>499.96681665639119</v>
      </c>
      <c r="D203" s="4">
        <v>1548.8300670672922</v>
      </c>
      <c r="E203" s="7">
        <v>155.88300670672925</v>
      </c>
      <c r="F203" s="23" t="s">
        <v>6</v>
      </c>
      <c r="G203" s="6">
        <f>B203/$E203</f>
        <v>-0.2183579638573141</v>
      </c>
      <c r="H203" s="4">
        <f>C203/$E203</f>
        <v>3.2073208441315519</v>
      </c>
      <c r="I203" s="4">
        <f>D203/$E203</f>
        <v>9.9358493256496274</v>
      </c>
      <c r="J203" s="7">
        <f>E203/$E203</f>
        <v>1</v>
      </c>
    </row>
    <row r="204" spans="1:10">
      <c r="B204" s="6">
        <v>-116.08177840037426</v>
      </c>
      <c r="C204" s="4">
        <v>440.0244493633794</v>
      </c>
      <c r="D204" s="4">
        <v>1438.486152011626</v>
      </c>
      <c r="E204" s="7">
        <v>144.8486152011626</v>
      </c>
      <c r="F204" s="23" t="s">
        <v>7</v>
      </c>
      <c r="G204" s="6">
        <f>B204/$E204</f>
        <v>-0.80140067779842017</v>
      </c>
      <c r="H204" s="4">
        <f>C204/$E204</f>
        <v>3.0378229626309028</v>
      </c>
      <c r="I204" s="4">
        <f>D204/$E204</f>
        <v>9.9309624052248466</v>
      </c>
      <c r="J204" s="7">
        <f>E204/$E204</f>
        <v>1</v>
      </c>
    </row>
    <row r="205" spans="1:10">
      <c r="B205" s="6">
        <v>218.78261988249824</v>
      </c>
      <c r="C205" s="4">
        <v>335.58935483498931</v>
      </c>
      <c r="D205" s="4">
        <v>1246.2385361785659</v>
      </c>
      <c r="E205" s="7">
        <v>125.6238536178566</v>
      </c>
      <c r="F205" s="23" t="s">
        <v>8</v>
      </c>
      <c r="G205" s="6">
        <f>B205/$E205</f>
        <v>1.74156908566129</v>
      </c>
      <c r="H205" s="4">
        <f>C205/$E205</f>
        <v>2.6713824259510499</v>
      </c>
      <c r="I205" s="4">
        <f>D205/$E205</f>
        <v>9.9203972835412326</v>
      </c>
      <c r="J205" s="7">
        <f>E205/$E205</f>
        <v>1</v>
      </c>
    </row>
    <row r="206" spans="1:10">
      <c r="B206" s="6">
        <v>300.82610233843508</v>
      </c>
      <c r="C206" s="4">
        <v>395.53172212800109</v>
      </c>
      <c r="D206" s="4">
        <v>1356.5824512342319</v>
      </c>
      <c r="E206" s="7">
        <v>136.6582451234232</v>
      </c>
      <c r="F206" s="23" t="s">
        <v>5</v>
      </c>
      <c r="G206" s="6">
        <f>B206/$E206</f>
        <v>2.2013022490281746</v>
      </c>
      <c r="H206" s="4">
        <f>C206/$E206</f>
        <v>2.8943129027507686</v>
      </c>
      <c r="I206" s="4">
        <f>D206/$E206</f>
        <v>9.9268247591576451</v>
      </c>
      <c r="J206" s="7">
        <f>E206/$E206</f>
        <v>1</v>
      </c>
    </row>
    <row r="207" spans="1:10">
      <c r="B207" s="6">
        <v>412.44756843272592</v>
      </c>
      <c r="C207" s="4">
        <v>250.8806226683557</v>
      </c>
      <c r="D207" s="4">
        <v>1352.1682117918565</v>
      </c>
      <c r="E207" s="7">
        <v>136.21682117918564</v>
      </c>
      <c r="F207" s="23" t="s">
        <v>9</v>
      </c>
      <c r="G207" s="6">
        <f>B207/$E207</f>
        <v>3.0278754478507035</v>
      </c>
      <c r="H207" s="4">
        <f>C207/$E207</f>
        <v>1.8417741692733838</v>
      </c>
      <c r="I207" s="4">
        <f>D207/$E207</f>
        <v>9.9265876276260663</v>
      </c>
      <c r="J207" s="7">
        <f>E207/$E207</f>
        <v>1</v>
      </c>
    </row>
    <row r="208" spans="1:10">
      <c r="B208" s="6">
        <v>635.69050062130759</v>
      </c>
      <c r="C208" s="4">
        <v>181.25722631609565</v>
      </c>
      <c r="D208" s="4">
        <v>1224.0031345698162</v>
      </c>
      <c r="E208" s="7">
        <v>123.40031345698162</v>
      </c>
      <c r="F208" s="23" t="s">
        <v>10</v>
      </c>
      <c r="G208" s="6">
        <f>B208/$E208</f>
        <v>5.1514496423294309</v>
      </c>
      <c r="H208" s="4">
        <f>C208/$E208</f>
        <v>1.4688554772535762</v>
      </c>
      <c r="I208" s="4">
        <f>D208/$E208</f>
        <v>9.9189629287004522</v>
      </c>
      <c r="J208" s="7">
        <f>E208/$E208</f>
        <v>1</v>
      </c>
    </row>
    <row r="209" spans="2:10">
      <c r="B209" s="6">
        <v>553.64701816537081</v>
      </c>
      <c r="C209" s="4">
        <v>121.31485902308384</v>
      </c>
      <c r="D209" s="4">
        <v>1113.6592195141502</v>
      </c>
      <c r="E209" s="7">
        <v>112.36592195141503</v>
      </c>
      <c r="F209" s="23" t="s">
        <v>4</v>
      </c>
      <c r="G209" s="6">
        <f>B209/$E209</f>
        <v>4.9271790641717663</v>
      </c>
      <c r="H209" s="4">
        <f>C209/$E209</f>
        <v>1.0796410238643186</v>
      </c>
      <c r="I209" s="4">
        <f>D209/$E209</f>
        <v>9.9110050464915513</v>
      </c>
      <c r="J209" s="7">
        <f>E209/$E209</f>
        <v>1</v>
      </c>
    </row>
    <row r="210" spans="2:10">
      <c r="B210" s="6">
        <v>330.40408597678908</v>
      </c>
      <c r="C210" s="4">
        <v>190.93825537534389</v>
      </c>
      <c r="D210" s="4">
        <v>1241.8242967361903</v>
      </c>
      <c r="E210" s="7">
        <v>125.18242967361903</v>
      </c>
      <c r="F210" s="23" t="s">
        <v>11</v>
      </c>
      <c r="G210" s="6">
        <f>B210/$E210</f>
        <v>2.6393806769706636</v>
      </c>
      <c r="H210" s="4">
        <f>C210/$E210</f>
        <v>1.52527999235329</v>
      </c>
      <c r="I210" s="4">
        <f>D210/$E210</f>
        <v>9.9201165848428374</v>
      </c>
      <c r="J210" s="7">
        <f>E210/$E210</f>
        <v>1</v>
      </c>
    </row>
    <row r="211" spans="2:10">
      <c r="B211" s="6">
        <v>553.64701816537081</v>
      </c>
      <c r="C211" s="4">
        <v>55.411218252974606</v>
      </c>
      <c r="D211" s="4">
        <v>1149.4601990153369</v>
      </c>
      <c r="E211" s="7">
        <v>115.9460199015337</v>
      </c>
      <c r="F211" s="23" t="s">
        <v>12</v>
      </c>
      <c r="G211" s="6">
        <f>B211/$E211</f>
        <v>4.775041166877064</v>
      </c>
      <c r="H211" s="4">
        <f>C211/$E211</f>
        <v>0.47790530714234236</v>
      </c>
      <c r="I211" s="4">
        <f>D211/$E211</f>
        <v>9.9137529687651842</v>
      </c>
      <c r="J211" s="7">
        <f>E211/$E211</f>
        <v>1</v>
      </c>
    </row>
    <row r="212" spans="2:10">
      <c r="B212" s="6">
        <v>-116.08177840037426</v>
      </c>
      <c r="C212" s="4">
        <v>264.28140730975474</v>
      </c>
      <c r="D212" s="4">
        <v>1533.9554306814575</v>
      </c>
      <c r="E212" s="7">
        <v>154.39554306814577</v>
      </c>
      <c r="F212" s="23" t="s">
        <v>13</v>
      </c>
      <c r="G212" s="6">
        <f>B212/$E212</f>
        <v>-0.7518466925508277</v>
      </c>
      <c r="H212" s="4">
        <f>C212/$E212</f>
        <v>1.711716556436532</v>
      </c>
      <c r="I212" s="4">
        <f>D212/$E212</f>
        <v>9.9352312909992069</v>
      </c>
      <c r="J212" s="7">
        <f>E212/$E212</f>
        <v>1</v>
      </c>
    </row>
    <row r="213" spans="2:10">
      <c r="B213" s="6">
        <v>-280.1687433122479</v>
      </c>
      <c r="C213" s="4">
        <v>144.39667272373111</v>
      </c>
      <c r="D213" s="4">
        <v>1313.2676005701255</v>
      </c>
      <c r="E213" s="7">
        <v>132.32676005701256</v>
      </c>
      <c r="F213" s="23" t="s">
        <v>14</v>
      </c>
      <c r="G213" s="6">
        <f>B213/$E213</f>
        <v>-2.1172493242601731</v>
      </c>
      <c r="H213" s="4">
        <f>C213/$E213</f>
        <v>1.0912129388002718</v>
      </c>
      <c r="I213" s="4">
        <f>D213/$E213</f>
        <v>9.9244294956236239</v>
      </c>
      <c r="J213" s="7">
        <f>E213/$E213</f>
        <v>1</v>
      </c>
    </row>
    <row r="214" spans="2:10">
      <c r="B214" s="6">
        <v>-280.1687433122479</v>
      </c>
      <c r="C214" s="4">
        <v>56.525151696918783</v>
      </c>
      <c r="D214" s="4">
        <v>1361.0022399050411</v>
      </c>
      <c r="E214" s="7">
        <v>137.10022399050411</v>
      </c>
      <c r="F214" s="12" t="s">
        <v>15</v>
      </c>
      <c r="G214" s="6">
        <f>B214/$E214</f>
        <v>-2.0435323528840703</v>
      </c>
      <c r="H214" s="4">
        <f>C214/$E214</f>
        <v>0.4122907319307797</v>
      </c>
      <c r="I214" s="4">
        <f>D214/$E214</f>
        <v>9.9270606589184514</v>
      </c>
      <c r="J214" s="7">
        <f>E214/$E214</f>
        <v>1</v>
      </c>
    </row>
    <row r="215" spans="2:10">
      <c r="B215" s="6">
        <v>-112.73654417081167</v>
      </c>
      <c r="C215" s="4">
        <v>4.3076044327237355</v>
      </c>
      <c r="D215" s="4">
        <v>1264.878431988511</v>
      </c>
      <c r="E215" s="7">
        <v>127.48784319885111</v>
      </c>
      <c r="F215" s="13" t="s">
        <v>21</v>
      </c>
      <c r="G215" s="6">
        <f>B215/$E215</f>
        <v>-0.88429250461919828</v>
      </c>
      <c r="H215" s="4">
        <f>C215/$E215</f>
        <v>3.3788354439449442E-2</v>
      </c>
      <c r="I215" s="4">
        <f>D215/$E215</f>
        <v>9.9215611485057256</v>
      </c>
      <c r="J215" s="7">
        <f>E215/$E215</f>
        <v>1</v>
      </c>
    </row>
    <row r="216" spans="2:10">
      <c r="B216" s="6">
        <v>-112.73654417081167</v>
      </c>
      <c r="C216" s="4">
        <v>92.179125459536067</v>
      </c>
      <c r="D216" s="4">
        <v>1217.1437926535953</v>
      </c>
      <c r="E216" s="7">
        <v>122.71437926535953</v>
      </c>
      <c r="F216" s="13" t="s">
        <v>22</v>
      </c>
      <c r="G216" s="6">
        <f>B216/$E216</f>
        <v>-0.91869057925989561</v>
      </c>
      <c r="H216" s="4">
        <f>C216/$E216</f>
        <v>0.75116808650603573</v>
      </c>
      <c r="I216" s="4">
        <f>D216/$E216</f>
        <v>9.9185099573508353</v>
      </c>
      <c r="J216" s="7">
        <f>E216/$E216</f>
        <v>1</v>
      </c>
    </row>
    <row r="217" spans="2:10">
      <c r="B217" s="6">
        <v>-194.78002662674848</v>
      </c>
      <c r="C217" s="4">
        <v>32.236758166524282</v>
      </c>
      <c r="D217" s="4">
        <v>1106.799877597929</v>
      </c>
      <c r="E217" s="7">
        <v>111.67998775979291</v>
      </c>
      <c r="F217" s="13" t="s">
        <v>23</v>
      </c>
      <c r="G217" s="6">
        <f>B217/$E217</f>
        <v>-1.7440906874532565</v>
      </c>
      <c r="H217" s="4">
        <f>C217/$E217</f>
        <v>0.28865295218209341</v>
      </c>
      <c r="I217" s="4">
        <f>D217/$E217</f>
        <v>9.9104584429082436</v>
      </c>
      <c r="J217" s="7">
        <f>E217/$E217</f>
        <v>1</v>
      </c>
    </row>
    <row r="218" spans="2:10">
      <c r="B218" s="6">
        <v>-194.78002662674848</v>
      </c>
      <c r="C218" s="4">
        <v>-55.634762860288049</v>
      </c>
      <c r="D218" s="4">
        <v>1154.5345169328448</v>
      </c>
      <c r="E218" s="7">
        <v>116.45345169328448</v>
      </c>
      <c r="F218" s="13" t="s">
        <v>17</v>
      </c>
      <c r="G218" s="6">
        <f>B218/$E218</f>
        <v>-1.6725998568059692</v>
      </c>
      <c r="H218" s="4">
        <f>C218/$E218</f>
        <v>-0.47774249755017212</v>
      </c>
      <c r="I218" s="4">
        <f>D218/$E218</f>
        <v>9.9141287797433595</v>
      </c>
      <c r="J218" s="7">
        <f>E218/$E218</f>
        <v>1</v>
      </c>
    </row>
    <row r="219" spans="2:10">
      <c r="B219" s="6">
        <v>140.08437165612401</v>
      </c>
      <c r="C219" s="4">
        <v>-160.06985738867814</v>
      </c>
      <c r="D219" s="4">
        <v>962.2869010997847</v>
      </c>
      <c r="E219" s="7">
        <v>97.228690109978473</v>
      </c>
      <c r="F219" s="13" t="s">
        <v>16</v>
      </c>
      <c r="G219" s="6">
        <f>B219/$E219</f>
        <v>1.4407719727342836</v>
      </c>
      <c r="H219" s="4">
        <f>C219/$E219</f>
        <v>-1.6463232941595534</v>
      </c>
      <c r="I219" s="4">
        <f>D219/$E219</f>
        <v>9.8971496994489101</v>
      </c>
      <c r="J219" s="7">
        <f>E219/$E219</f>
        <v>1</v>
      </c>
    </row>
    <row r="220" spans="2:10">
      <c r="B220" s="6">
        <v>140.08437165612401</v>
      </c>
      <c r="C220" s="4">
        <v>-72.198336361865813</v>
      </c>
      <c r="D220" s="4">
        <v>914.55226176486894</v>
      </c>
      <c r="E220" s="7">
        <v>92.455226176486903</v>
      </c>
      <c r="F220" s="13" t="s">
        <v>24</v>
      </c>
      <c r="G220" s="6">
        <f>B220/$E220</f>
        <v>1.5151590391301222</v>
      </c>
      <c r="H220" s="4">
        <f>C220/$E220</f>
        <v>-0.78090054340516235</v>
      </c>
      <c r="I220" s="4">
        <f>D220/$E220</f>
        <v>9.8918395377573223</v>
      </c>
      <c r="J220" s="7">
        <f>E220/$E220</f>
        <v>1</v>
      </c>
    </row>
    <row r="221" spans="2:10">
      <c r="B221" s="6">
        <v>222.12785411206085</v>
      </c>
      <c r="C221" s="4">
        <v>-12.255969068853972</v>
      </c>
      <c r="D221" s="4">
        <v>1024.8961768205349</v>
      </c>
      <c r="E221" s="7">
        <v>103.48961768205351</v>
      </c>
      <c r="F221" s="13" t="s">
        <v>25</v>
      </c>
      <c r="G221" s="6">
        <f>B221/$E221</f>
        <v>2.1463781496854519</v>
      </c>
      <c r="H221" s="4">
        <f>C221/$E221</f>
        <v>-0.11842703976844744</v>
      </c>
      <c r="I221" s="4">
        <f>D221/$E221</f>
        <v>9.9033719495348542</v>
      </c>
      <c r="J221" s="7">
        <f>E221/$E221</f>
        <v>1</v>
      </c>
    </row>
    <row r="222" spans="2:10">
      <c r="B222" s="6">
        <v>222.12785411206085</v>
      </c>
      <c r="C222" s="4">
        <v>-100.1274900956663</v>
      </c>
      <c r="D222" s="4">
        <v>1072.6308161554507</v>
      </c>
      <c r="E222" s="7">
        <v>108.26308161554508</v>
      </c>
      <c r="F222" s="13" t="s">
        <v>26</v>
      </c>
      <c r="G222" s="6">
        <f>B222/$E222</f>
        <v>2.0517414689973723</v>
      </c>
      <c r="H222" s="4">
        <f>C222/$E222</f>
        <v>-0.92485350131848998</v>
      </c>
      <c r="I222" s="4">
        <f>D222/$E222</f>
        <v>9.9076324093977739</v>
      </c>
      <c r="J222" s="7">
        <f>E222/$E222</f>
        <v>1</v>
      </c>
    </row>
    <row r="223" spans="2:10">
      <c r="B223" s="6">
        <v>389.56005325349713</v>
      </c>
      <c r="C223" s="4">
        <v>-152.34503735986141</v>
      </c>
      <c r="D223" s="4">
        <v>976.50700823892066</v>
      </c>
      <c r="E223" s="7">
        <v>98.650700823892066</v>
      </c>
      <c r="F223" s="13" t="s">
        <v>27</v>
      </c>
      <c r="G223" s="6">
        <f>B223/$E223</f>
        <v>3.9488827752873923</v>
      </c>
      <c r="H223" s="4">
        <f>C223/$E223</f>
        <v>-1.5442874311843224</v>
      </c>
      <c r="I223" s="4">
        <f>D223/$E223</f>
        <v>9.8986322457267519</v>
      </c>
      <c r="J223" s="7">
        <f>E223/$E223</f>
        <v>1</v>
      </c>
    </row>
    <row r="224" spans="2:10">
      <c r="B224" s="6">
        <v>635.69050062130759</v>
      </c>
      <c r="C224" s="4">
        <v>27.482064519174088</v>
      </c>
      <c r="D224" s="4">
        <v>1307.5387534059187</v>
      </c>
      <c r="E224" s="7">
        <v>131.75387534059186</v>
      </c>
      <c r="F224" s="13" t="s">
        <v>28</v>
      </c>
      <c r="G224" s="6">
        <f>B224/$E224</f>
        <v>4.8248334174460421</v>
      </c>
      <c r="H224" s="4">
        <f>C224/$E224</f>
        <v>0.20858638463674228</v>
      </c>
      <c r="I224" s="4">
        <f>D224/$E224</f>
        <v>9.9241009042493111</v>
      </c>
      <c r="J224" s="7">
        <f>E224/$E224</f>
        <v>1</v>
      </c>
    </row>
    <row r="225" spans="2:10">
      <c r="B225" s="6">
        <v>389.56005325349713</v>
      </c>
      <c r="C225" s="4">
        <v>-64.473516333049076</v>
      </c>
      <c r="D225" s="4">
        <v>928.77236890400491</v>
      </c>
      <c r="E225" s="7">
        <v>93.877236890400496</v>
      </c>
      <c r="F225" s="14" t="s">
        <v>0</v>
      </c>
      <c r="G225" s="6">
        <f>B225/$E225</f>
        <v>4.1496753223393172</v>
      </c>
      <c r="H225" s="4">
        <f>C225/$E225</f>
        <v>-0.6867854068640773</v>
      </c>
      <c r="I225" s="4">
        <f>D225/$E225</f>
        <v>9.8934779044287939</v>
      </c>
      <c r="J225" s="7">
        <f>E225/$E225</f>
        <v>1</v>
      </c>
    </row>
    <row r="226" spans="2:10">
      <c r="B226" s="6">
        <v>-60.271045353228843</v>
      </c>
      <c r="C226" s="4">
        <v>400.65072001861131</v>
      </c>
      <c r="D226" s="4">
        <v>1418.3785425398451</v>
      </c>
      <c r="E226" s="7">
        <v>142.83785425398452</v>
      </c>
      <c r="F226" s="14" t="s">
        <v>1</v>
      </c>
      <c r="G226" s="6">
        <f>B226/$E226</f>
        <v>-0.42195428983453492</v>
      </c>
      <c r="H226" s="4">
        <f>C226/$E226</f>
        <v>2.8049337629099464</v>
      </c>
      <c r="I226" s="4">
        <f>D226/$E226</f>
        <v>9.9299905473081473</v>
      </c>
      <c r="J226" s="7">
        <f>E226/$E226</f>
        <v>1</v>
      </c>
    </row>
    <row r="227" spans="2:10" ht="13" thickBot="1">
      <c r="B227" s="28">
        <v>-60.271045353228843</v>
      </c>
      <c r="C227" s="8">
        <v>312.77919899179898</v>
      </c>
      <c r="D227" s="8">
        <v>1466.1131818747608</v>
      </c>
      <c r="E227" s="9">
        <v>147.61131818747609</v>
      </c>
      <c r="F227" s="16" t="s">
        <v>2</v>
      </c>
      <c r="G227" s="28">
        <f>B227/$E227</f>
        <v>-0.40830910592289849</v>
      </c>
      <c r="H227" s="8">
        <f>C227/$E227</f>
        <v>2.1189377808722556</v>
      </c>
      <c r="I227" s="8">
        <f>D227/$E227</f>
        <v>9.9322545173175723</v>
      </c>
      <c r="J227" s="9">
        <f>E227/$E227</f>
        <v>1</v>
      </c>
    </row>
    <row r="229" spans="2:10" ht="13" thickBot="1">
      <c r="C229">
        <v>2</v>
      </c>
      <c r="D229">
        <v>3</v>
      </c>
    </row>
    <row r="230" spans="2:10">
      <c r="B230" s="24" t="s">
        <v>3</v>
      </c>
      <c r="C230" s="10">
        <f>VLOOKUP($B230, $F$195:$J$227, C$229)</f>
        <v>-0.19998599465683847</v>
      </c>
      <c r="D230" s="11">
        <f>VLOOKUP($B230, $F$195:$J$227, D$229)</f>
        <v>1.3886459121787191</v>
      </c>
    </row>
    <row r="231" spans="2:10">
      <c r="B231" s="6" t="s">
        <v>15</v>
      </c>
      <c r="C231" s="4">
        <f>VLOOKUP($B231, $F$195:$J$227, C$229)</f>
        <v>-2.0435323528840703</v>
      </c>
      <c r="D231" s="7">
        <f>VLOOKUP($B231, $F$195:$J$227, D$229)</f>
        <v>0.4122907319307797</v>
      </c>
    </row>
    <row r="232" spans="2:10">
      <c r="B232" s="6" t="s">
        <v>21</v>
      </c>
      <c r="C232" s="4">
        <f>VLOOKUP($B232, $F$195:$J$227, C$229)</f>
        <v>-0.88429250461919828</v>
      </c>
      <c r="D232" s="7">
        <f>VLOOKUP($B232, $F$195:$J$227, D$229)</f>
        <v>3.3788354439449442E-2</v>
      </c>
    </row>
    <row r="233" spans="2:10">
      <c r="B233" s="6" t="s">
        <v>17</v>
      </c>
      <c r="C233" s="4">
        <f>VLOOKUP($B233, $F$195:$J$227, C$229)</f>
        <v>-1.6725998568059692</v>
      </c>
      <c r="D233" s="7">
        <f>VLOOKUP($B233, $F$195:$J$227, D$229)</f>
        <v>-0.47774249755017212</v>
      </c>
    </row>
    <row r="234" spans="2:10">
      <c r="B234" s="6" t="s">
        <v>16</v>
      </c>
      <c r="C234" s="4">
        <f>VLOOKUP($B234, $F$195:$J$227, C$229)</f>
        <v>1.4407719727342836</v>
      </c>
      <c r="D234" s="7">
        <f>VLOOKUP($B234, $F$195:$J$227, D$229)</f>
        <v>-1.6463232941595534</v>
      </c>
    </row>
    <row r="235" spans="2:10">
      <c r="B235" s="6" t="s">
        <v>26</v>
      </c>
      <c r="C235" s="4">
        <f>VLOOKUP($B235, $F$195:$J$227, C$229)</f>
        <v>2.0517414689973723</v>
      </c>
      <c r="D235" s="7">
        <f>VLOOKUP($B235, $F$195:$J$227, D$229)</f>
        <v>-0.92485350131848998</v>
      </c>
    </row>
    <row r="236" spans="2:10">
      <c r="B236" s="6" t="s">
        <v>27</v>
      </c>
      <c r="C236" s="4">
        <f>VLOOKUP($B236, $F$195:$J$227, C$229)</f>
        <v>3.9488827752873923</v>
      </c>
      <c r="D236" s="7">
        <f>VLOOKUP($B236, $F$195:$J$227, D$229)</f>
        <v>-1.5442874311843224</v>
      </c>
    </row>
    <row r="237" spans="2:10">
      <c r="B237" s="6" t="s">
        <v>28</v>
      </c>
      <c r="C237" s="4">
        <f>VLOOKUP($B237, $F$195:$J$227, C$229)</f>
        <v>4.8248334174460421</v>
      </c>
      <c r="D237" s="7">
        <f>VLOOKUP($B237, $F$195:$J$227, D$229)</f>
        <v>0.20858638463674228</v>
      </c>
    </row>
    <row r="238" spans="2:10">
      <c r="B238" s="6" t="s">
        <v>3</v>
      </c>
      <c r="C238" s="4">
        <f>VLOOKUP($B238, $F$195:$J$227, C$229)</f>
        <v>-0.19998599465683847</v>
      </c>
      <c r="D238" s="7">
        <f>VLOOKUP($B238, $F$195:$J$227, D$229)</f>
        <v>1.3886459121787191</v>
      </c>
    </row>
    <row r="239" spans="2:10">
      <c r="B239" s="6"/>
      <c r="C239" s="4"/>
      <c r="D239" s="7"/>
    </row>
    <row r="240" spans="2:10">
      <c r="B240" s="6" t="s">
        <v>13</v>
      </c>
      <c r="C240" s="4">
        <f>VLOOKUP($B240, $F$195:$J$227, C$229)</f>
        <v>-0.7518466925508277</v>
      </c>
      <c r="D240" s="7">
        <f>VLOOKUP($B240, $F$195:$J$227, D$229)</f>
        <v>1.711716556436532</v>
      </c>
    </row>
    <row r="241" spans="2:7">
      <c r="B241" s="6" t="s">
        <v>14</v>
      </c>
      <c r="C241" s="4">
        <f>VLOOKUP($B241, $F$195:$J$227, C$229)</f>
        <v>-2.1172493242601731</v>
      </c>
      <c r="D241" s="7">
        <f>VLOOKUP($B241, $F$195:$J$227, D$229)</f>
        <v>1.0912129388002718</v>
      </c>
    </row>
    <row r="242" spans="2:7">
      <c r="B242" s="6" t="s">
        <v>22</v>
      </c>
      <c r="C242" s="4">
        <f>VLOOKUP($B242, $F$195:$J$227, C$229)</f>
        <v>-0.91869057925989561</v>
      </c>
      <c r="D242" s="7">
        <f>VLOOKUP($B242, $F$195:$J$227, D$229)</f>
        <v>0.75116808650603573</v>
      </c>
    </row>
    <row r="243" spans="2:7">
      <c r="B243" s="6" t="s">
        <v>23</v>
      </c>
      <c r="C243" s="4">
        <f>VLOOKUP($B243, $F$195:$J$227, C$229)</f>
        <v>-1.7440906874532565</v>
      </c>
      <c r="D243" s="7">
        <f>VLOOKUP($B243, $F$195:$J$227, D$229)</f>
        <v>0.28865295218209341</v>
      </c>
    </row>
    <row r="244" spans="2:7">
      <c r="B244" s="6" t="s">
        <v>24</v>
      </c>
      <c r="C244" s="4">
        <f>VLOOKUP($B244, $F$195:$J$227, C$229)</f>
        <v>1.5151590391301222</v>
      </c>
      <c r="D244" s="7">
        <f>VLOOKUP($B244, $F$195:$J$227, D$229)</f>
        <v>-0.78090054340516235</v>
      </c>
    </row>
    <row r="245" spans="2:7">
      <c r="B245" s="6" t="s">
        <v>25</v>
      </c>
      <c r="C245" s="4">
        <f>VLOOKUP($B245, $F$195:$J$227, C$229)</f>
        <v>2.1463781496854519</v>
      </c>
      <c r="D245" s="7">
        <f>VLOOKUP($B245, $F$195:$J$227, D$229)</f>
        <v>-0.11842703976844744</v>
      </c>
    </row>
    <row r="246" spans="2:7">
      <c r="B246" s="6" t="s">
        <v>0</v>
      </c>
      <c r="C246" s="4">
        <f>VLOOKUP($B246, $F$195:$J$227, C$229)</f>
        <v>4.1496753223393172</v>
      </c>
      <c r="D246" s="7">
        <f>VLOOKUP($B246, $F$195:$J$227, D$229)</f>
        <v>-0.6867854068640773</v>
      </c>
    </row>
    <row r="247" spans="2:7">
      <c r="B247" s="6" t="s">
        <v>12</v>
      </c>
      <c r="C247" s="4">
        <f>VLOOKUP($B247, $F$195:$J$227, C$229)</f>
        <v>4.775041166877064</v>
      </c>
      <c r="D247" s="7">
        <f>VLOOKUP($B247, $F$195:$J$227, D$229)</f>
        <v>0.47790530714234236</v>
      </c>
    </row>
    <row r="248" spans="2:7">
      <c r="B248" s="6" t="s">
        <v>13</v>
      </c>
      <c r="C248" s="4">
        <f>VLOOKUP($B248, $F$195:$J$227, C$229)</f>
        <v>-0.7518466925508277</v>
      </c>
      <c r="D248" s="7">
        <f>VLOOKUP($B248, $F$195:$J$227, D$229)</f>
        <v>1.711716556436532</v>
      </c>
    </row>
    <row r="249" spans="2:7">
      <c r="B249" s="6"/>
      <c r="C249" s="4"/>
      <c r="D249" s="7"/>
    </row>
    <row r="250" spans="2:7">
      <c r="B250" s="6" t="s">
        <v>13</v>
      </c>
      <c r="C250" s="4">
        <f>VLOOKUP($B250, $F$195:$J$227, C$229)</f>
        <v>-0.7518466925508277</v>
      </c>
      <c r="D250" s="7">
        <f>VLOOKUP($B250, $F$195:$J$227, D$229)</f>
        <v>1.711716556436532</v>
      </c>
    </row>
    <row r="251" spans="2:7">
      <c r="B251" s="6" t="s">
        <v>7</v>
      </c>
      <c r="C251" s="4">
        <f>VLOOKUP($B251, $F$195:$J$227, C$229)</f>
        <v>-0.80140067779842017</v>
      </c>
      <c r="D251" s="7">
        <f>VLOOKUP($B251, $F$195:$J$227, D$229)</f>
        <v>3.0378229626309028</v>
      </c>
    </row>
    <row r="252" spans="2:7">
      <c r="B252" s="6" t="s">
        <v>8</v>
      </c>
      <c r="C252" s="4">
        <f>VLOOKUP($B252, $F$195:$J$227, C$229)</f>
        <v>1.74156908566129</v>
      </c>
      <c r="D252" s="7">
        <f>VLOOKUP($B252, $F$195:$J$227, D$229)</f>
        <v>2.6713824259510499</v>
      </c>
      <c r="G252">
        <f>C363</f>
        <v>0</v>
      </c>
    </row>
    <row r="253" spans="2:7">
      <c r="B253" s="6" t="s">
        <v>29</v>
      </c>
      <c r="C253" s="4">
        <f>VLOOKUP($B253, $F$195:$J$227, C$229)</f>
        <v>2.6393806769706636</v>
      </c>
      <c r="D253" s="7">
        <f>VLOOKUP($B253, $F$195:$J$227, D$229)</f>
        <v>1.52527999235329</v>
      </c>
    </row>
    <row r="254" spans="2:7">
      <c r="B254" s="6" t="s">
        <v>4</v>
      </c>
      <c r="C254" s="4">
        <f>VLOOKUP($B254, $F$195:$J$227, C$229)</f>
        <v>4.9271790641717663</v>
      </c>
      <c r="D254" s="7">
        <f>VLOOKUP($B254, $F$195:$J$227, D$229)</f>
        <v>1.0796410238643186</v>
      </c>
    </row>
    <row r="255" spans="2:7">
      <c r="B255" s="6" t="s">
        <v>12</v>
      </c>
      <c r="C255" s="4">
        <f>VLOOKUP($B255, $F$195:$J$227, C$229)</f>
        <v>4.775041166877064</v>
      </c>
      <c r="D255" s="7">
        <f>VLOOKUP($B255, $F$195:$J$227, D$229)</f>
        <v>0.47790530714234236</v>
      </c>
    </row>
    <row r="256" spans="2:7">
      <c r="B256" s="6"/>
      <c r="C256" s="4"/>
      <c r="D256" s="7"/>
    </row>
    <row r="257" spans="2:4">
      <c r="B257" s="6" t="s">
        <v>3</v>
      </c>
      <c r="C257" s="4">
        <f>VLOOKUP($B257, $F$195:$J$227, C$229)</f>
        <v>-0.19998599465683847</v>
      </c>
      <c r="D257" s="7">
        <f>VLOOKUP($B257, $F$195:$J$227, D$229)</f>
        <v>1.3886459121787191</v>
      </c>
    </row>
    <row r="258" spans="2:4">
      <c r="B258" s="6" t="s">
        <v>6</v>
      </c>
      <c r="C258" s="4">
        <f>VLOOKUP($B258, $F$195:$J$227, C$229)</f>
        <v>-0.2183579638573141</v>
      </c>
      <c r="D258" s="7">
        <f>VLOOKUP($B258, $F$195:$J$227, D$229)</f>
        <v>3.2073208441315519</v>
      </c>
    </row>
    <row r="259" spans="2:4">
      <c r="B259" s="6" t="s">
        <v>5</v>
      </c>
      <c r="C259" s="4">
        <f>VLOOKUP($B259, $F$195:$J$227, C$229)</f>
        <v>2.2013022490281746</v>
      </c>
      <c r="D259" s="7">
        <f>VLOOKUP($B259, $F$195:$J$227, D$229)</f>
        <v>2.8943129027507686</v>
      </c>
    </row>
    <row r="260" spans="2:4">
      <c r="B260" s="6" t="s">
        <v>9</v>
      </c>
      <c r="C260" s="4">
        <f>VLOOKUP($B260, $F$195:$J$227, C$229)</f>
        <v>3.0278754478507035</v>
      </c>
      <c r="D260" s="7">
        <f>VLOOKUP($B260, $F$195:$J$227, D$229)</f>
        <v>1.8417741692733838</v>
      </c>
    </row>
    <row r="261" spans="2:4">
      <c r="B261" s="6" t="s">
        <v>10</v>
      </c>
      <c r="C261" s="4">
        <f>VLOOKUP($B261, $F$195:$J$227, C$229)</f>
        <v>5.1514496423294309</v>
      </c>
      <c r="D261" s="7">
        <f>VLOOKUP($B261, $F$195:$J$227, D$229)</f>
        <v>1.4688554772535762</v>
      </c>
    </row>
    <row r="262" spans="2:4">
      <c r="B262" s="6" t="s">
        <v>28</v>
      </c>
      <c r="C262" s="4">
        <f>VLOOKUP($B262, $F$195:$J$227, C$229)</f>
        <v>4.8248334174460421</v>
      </c>
      <c r="D262" s="7">
        <f>VLOOKUP($B262, $F$195:$J$227, D$229)</f>
        <v>0.20858638463674228</v>
      </c>
    </row>
    <row r="263" spans="2:4">
      <c r="B263" s="6"/>
      <c r="C263" s="4"/>
      <c r="D263" s="7"/>
    </row>
    <row r="264" spans="2:4">
      <c r="B264" s="6" t="s">
        <v>7</v>
      </c>
      <c r="C264" s="4">
        <f>VLOOKUP($B264, $F$195:$J$227, C$229)</f>
        <v>-0.80140067779842017</v>
      </c>
      <c r="D264" s="7">
        <f>VLOOKUP($B264, $F$195:$J$227, D$229)</f>
        <v>3.0378229626309028</v>
      </c>
    </row>
    <row r="265" spans="2:4">
      <c r="B265" s="6" t="s">
        <v>6</v>
      </c>
      <c r="C265" s="4">
        <f>VLOOKUP($B265, $F$195:$J$227, C$229)</f>
        <v>-0.2183579638573141</v>
      </c>
      <c r="D265" s="7">
        <f>VLOOKUP($B265, $F$195:$J$227, D$229)</f>
        <v>3.2073208441315519</v>
      </c>
    </row>
    <row r="266" spans="2:4">
      <c r="B266" s="6"/>
      <c r="C266" s="4"/>
      <c r="D266" s="7"/>
    </row>
    <row r="267" spans="2:4">
      <c r="B267" s="6" t="s">
        <v>8</v>
      </c>
      <c r="C267" s="4">
        <f>VLOOKUP($B267, $F$195:$J$227, C$229)</f>
        <v>1.74156908566129</v>
      </c>
      <c r="D267" s="7">
        <f>VLOOKUP($B267, $F$195:$J$227, D$229)</f>
        <v>2.6713824259510499</v>
      </c>
    </row>
    <row r="268" spans="2:4">
      <c r="B268" s="6" t="s">
        <v>5</v>
      </c>
      <c r="C268" s="4">
        <f>VLOOKUP($B268, $F$195:$J$227, C$229)</f>
        <v>2.2013022490281746</v>
      </c>
      <c r="D268" s="7">
        <f>VLOOKUP($B268, $F$195:$J$227, D$229)</f>
        <v>2.8943129027507686</v>
      </c>
    </row>
    <row r="269" spans="2:4">
      <c r="B269" s="6"/>
      <c r="C269" s="4"/>
      <c r="D269" s="7"/>
    </row>
    <row r="270" spans="2:4">
      <c r="B270" s="6" t="s">
        <v>29</v>
      </c>
      <c r="C270" s="4">
        <f>VLOOKUP($B270, $F$195:$J$227, C$229)</f>
        <v>2.6393806769706636</v>
      </c>
      <c r="D270" s="7">
        <f>VLOOKUP($B270, $F$195:$J$227, D$229)</f>
        <v>1.52527999235329</v>
      </c>
    </row>
    <row r="271" spans="2:4">
      <c r="B271" s="6" t="s">
        <v>9</v>
      </c>
      <c r="C271" s="4">
        <f>VLOOKUP($B271, $F$195:$J$227, C$229)</f>
        <v>3.0278754478507035</v>
      </c>
      <c r="D271" s="7">
        <f>VLOOKUP($B271, $F$195:$J$227, D$229)</f>
        <v>1.8417741692733838</v>
      </c>
    </row>
    <row r="272" spans="2:4">
      <c r="B272" s="6"/>
      <c r="C272" s="4"/>
      <c r="D272" s="7"/>
    </row>
    <row r="273" spans="2:4">
      <c r="B273" s="6" t="s">
        <v>4</v>
      </c>
      <c r="C273" s="4">
        <f>VLOOKUP($B273, $F$195:$J$227, C$229)</f>
        <v>4.9271790641717663</v>
      </c>
      <c r="D273" s="7">
        <f>VLOOKUP($B273, $F$195:$J$227, D$229)</f>
        <v>1.0796410238643186</v>
      </c>
    </row>
    <row r="274" spans="2:4">
      <c r="B274" s="6" t="s">
        <v>10</v>
      </c>
      <c r="C274" s="4">
        <f>VLOOKUP($B274, $F$195:$J$227, C$229)</f>
        <v>5.1514496423294309</v>
      </c>
      <c r="D274" s="7">
        <f>VLOOKUP($B274, $F$195:$J$227, D$229)</f>
        <v>1.4688554772535762</v>
      </c>
    </row>
    <row r="275" spans="2:4">
      <c r="B275" s="6"/>
      <c r="C275" s="4"/>
      <c r="D275" s="7"/>
    </row>
    <row r="276" spans="2:4">
      <c r="B276" s="6" t="s">
        <v>1</v>
      </c>
      <c r="C276" s="4">
        <f>VLOOKUP($B276, $F$195:$J$227, C$229)</f>
        <v>-0.42195428983453492</v>
      </c>
      <c r="D276" s="7">
        <f>VLOOKUP($B276, $F$195:$J$227, D$229)</f>
        <v>2.8049337629099464</v>
      </c>
    </row>
    <row r="277" spans="2:4">
      <c r="B277" s="6" t="s">
        <v>2</v>
      </c>
      <c r="C277" s="4">
        <f>VLOOKUP($B277, $F$195:$J$227, C$229)</f>
        <v>-0.40830910592289849</v>
      </c>
      <c r="D277" s="7">
        <f>VLOOKUP($B277, $F$195:$J$227, D$229)</f>
        <v>2.1189377808722556</v>
      </c>
    </row>
    <row r="278" spans="2:4">
      <c r="B278" s="6" t="s">
        <v>32</v>
      </c>
      <c r="C278" s="4">
        <f>VLOOKUP($B278, $F$195:$J$227, C$229)</f>
        <v>1.662599615760572</v>
      </c>
      <c r="D278" s="7">
        <f>VLOOKUP($B278, $F$195:$J$227, D$229)</f>
        <v>1.7155466290431445</v>
      </c>
    </row>
    <row r="279" spans="2:4">
      <c r="B279" s="6"/>
      <c r="C279" s="4"/>
      <c r="D279" s="7"/>
    </row>
    <row r="280" spans="2:4">
      <c r="B280" s="6" t="s">
        <v>30</v>
      </c>
      <c r="C280" s="4">
        <f>VLOOKUP($B280, $F$195:$J$227, C$229)</f>
        <v>1.2534240813720412</v>
      </c>
      <c r="D280" s="7">
        <f>VLOOKUP($B280, $F$195:$J$227, D$229)</f>
        <v>2.5459459734593639</v>
      </c>
    </row>
    <row r="281" spans="2:4">
      <c r="B281" s="6" t="s">
        <v>31</v>
      </c>
      <c r="C281" s="4">
        <f>VLOOKUP($B281, $F$195:$J$227, C$229)</f>
        <v>1.1880015630828449</v>
      </c>
      <c r="D281" s="7">
        <f>VLOOKUP($B281, $F$195:$J$227, D$229)</f>
        <v>1.4522364932939791</v>
      </c>
    </row>
    <row r="282" spans="2:4">
      <c r="B282" s="6"/>
      <c r="C282" s="4"/>
      <c r="D282" s="7"/>
    </row>
    <row r="283" spans="2:4">
      <c r="B283" s="6" t="s">
        <v>39</v>
      </c>
      <c r="C283" s="4">
        <f>VLOOKUP($B283, $F$195:$J$227, C$229)</f>
        <v>1.7546584974604209</v>
      </c>
      <c r="D283" s="7">
        <f>VLOOKUP($B283, $F$195:$J$227, D$229)</f>
        <v>0.22769087768799895</v>
      </c>
    </row>
    <row r="284" spans="2:4">
      <c r="B284" s="6" t="s">
        <v>34</v>
      </c>
      <c r="C284" s="4">
        <f>VLOOKUP($B284, $F$195:$J$227, C$229)</f>
        <v>5.3754808676743968E-16</v>
      </c>
      <c r="D284" s="7">
        <f>VLOOKUP($B284, $F$195:$J$227, D$229)</f>
        <v>-1.6126442603023192E-15</v>
      </c>
    </row>
    <row r="285" spans="2:4">
      <c r="B285" s="6"/>
      <c r="C285" s="4"/>
      <c r="D285" s="7"/>
    </row>
    <row r="286" spans="2:4">
      <c r="B286" s="6" t="s">
        <v>37</v>
      </c>
      <c r="C286" s="4">
        <f>VLOOKUP($B286, $F$195:$J$227, C$229)</f>
        <v>-0.24010367663947282</v>
      </c>
      <c r="D286" s="7">
        <f>VLOOKUP($B286, $F$195:$J$227, D$229)</f>
        <v>0.76918020423059241</v>
      </c>
    </row>
    <row r="287" spans="2:4">
      <c r="B287" s="6" t="s">
        <v>34</v>
      </c>
      <c r="C287" s="4">
        <f>VLOOKUP($B287, $F$195:$J$227, C$229)</f>
        <v>5.3754808676743968E-16</v>
      </c>
      <c r="D287" s="7">
        <f>VLOOKUP($B287, $F$195:$J$227, D$229)</f>
        <v>-1.6126442603023192E-15</v>
      </c>
    </row>
    <row r="288" spans="2:4">
      <c r="B288" s="6"/>
      <c r="C288" s="4"/>
      <c r="D288" s="7"/>
    </row>
    <row r="289" spans="2:4">
      <c r="B289" s="6" t="s">
        <v>34</v>
      </c>
      <c r="C289" s="4">
        <f>VLOOKUP($B289, $F$195:$J$227, C$229)</f>
        <v>5.3754808676743968E-16</v>
      </c>
      <c r="D289" s="7">
        <f>VLOOKUP($B289, $F$195:$J$227, D$229)</f>
        <v>-1.6126442603023192E-15</v>
      </c>
    </row>
    <row r="290" spans="2:4">
      <c r="B290" s="6" t="s">
        <v>38</v>
      </c>
      <c r="C290" s="4">
        <f>VLOOKUP($B290, $F$195:$J$227, C$229)</f>
        <v>1.4558592511908408</v>
      </c>
      <c r="D290" s="7">
        <f>VLOOKUP($B290, $F$195:$J$227, D$229)</f>
        <v>1.0636755943249889</v>
      </c>
    </row>
    <row r="291" spans="2:4">
      <c r="B291" s="6"/>
      <c r="C291" s="4"/>
      <c r="D291" s="7"/>
    </row>
    <row r="292" spans="2:4">
      <c r="B292" s="6" t="s">
        <v>14</v>
      </c>
      <c r="C292" s="4">
        <f>VLOOKUP($B292, $F$195:$J$227, C$229)</f>
        <v>-2.1172493242601731</v>
      </c>
      <c r="D292" s="7">
        <f>VLOOKUP($B292, $F$195:$J$227, D$229)</f>
        <v>1.0912129388002718</v>
      </c>
    </row>
    <row r="293" spans="2:4">
      <c r="B293" s="6" t="s">
        <v>15</v>
      </c>
      <c r="C293" s="4">
        <f>VLOOKUP($B293, $F$195:$J$227, C$229)</f>
        <v>-2.0435323528840703</v>
      </c>
      <c r="D293" s="7">
        <f>VLOOKUP($B293, $F$195:$J$227, D$229)</f>
        <v>0.4122907319307797</v>
      </c>
    </row>
    <row r="294" spans="2:4">
      <c r="B294" s="6"/>
      <c r="C294" s="4"/>
      <c r="D294" s="7"/>
    </row>
    <row r="295" spans="2:4">
      <c r="B295" s="6" t="s">
        <v>22</v>
      </c>
      <c r="C295" s="4">
        <f>VLOOKUP($B295, $F$195:$J$227, C$229)</f>
        <v>-0.91869057925989561</v>
      </c>
      <c r="D295" s="7">
        <f>VLOOKUP($B295, $F$195:$J$227, D$229)</f>
        <v>0.75116808650603573</v>
      </c>
    </row>
    <row r="296" spans="2:4">
      <c r="B296" s="6" t="s">
        <v>21</v>
      </c>
      <c r="C296" s="4">
        <f>VLOOKUP($B296, $F$195:$J$227, C$229)</f>
        <v>-0.88429250461919828</v>
      </c>
      <c r="D296" s="7">
        <f>VLOOKUP($B296, $F$195:$J$227, D$229)</f>
        <v>3.3788354439449442E-2</v>
      </c>
    </row>
    <row r="297" spans="2:4">
      <c r="B297" s="6"/>
      <c r="C297" s="4"/>
      <c r="D297" s="7"/>
    </row>
    <row r="298" spans="2:4">
      <c r="B298" s="6" t="s">
        <v>23</v>
      </c>
      <c r="C298" s="4">
        <f>VLOOKUP($B298, $F$195:$J$227, C$229)</f>
        <v>-1.7440906874532565</v>
      </c>
      <c r="D298" s="7">
        <f>VLOOKUP($B298, $F$195:$J$227, D$229)</f>
        <v>0.28865295218209341</v>
      </c>
    </row>
    <row r="299" spans="2:4">
      <c r="B299" s="6" t="s">
        <v>17</v>
      </c>
      <c r="C299" s="4">
        <f>VLOOKUP($B299, $F$195:$J$227, C$229)</f>
        <v>-1.6725998568059692</v>
      </c>
      <c r="D299" s="7">
        <f>VLOOKUP($B299, $F$195:$J$227, D$229)</f>
        <v>-0.47774249755017212</v>
      </c>
    </row>
    <row r="300" spans="2:4">
      <c r="B300" s="6"/>
      <c r="C300" s="4"/>
      <c r="D300" s="7"/>
    </row>
    <row r="301" spans="2:4">
      <c r="B301" s="6" t="s">
        <v>24</v>
      </c>
      <c r="C301" s="4">
        <f>VLOOKUP($B301, $F$195:$J$227, C$229)</f>
        <v>1.5151590391301222</v>
      </c>
      <c r="D301" s="7">
        <f>VLOOKUP($B301, $F$195:$J$227, D$229)</f>
        <v>-0.78090054340516235</v>
      </c>
    </row>
    <row r="302" spans="2:4">
      <c r="B302" s="6" t="s">
        <v>16</v>
      </c>
      <c r="C302" s="4">
        <f>VLOOKUP($B302, $F$195:$J$227, C$229)</f>
        <v>1.4407719727342836</v>
      </c>
      <c r="D302" s="7">
        <f>VLOOKUP($B302, $F$195:$J$227, D$229)</f>
        <v>-1.6463232941595534</v>
      </c>
    </row>
    <row r="303" spans="2:4">
      <c r="B303" s="6"/>
      <c r="C303" s="4"/>
      <c r="D303" s="7"/>
    </row>
    <row r="304" spans="2:4">
      <c r="B304" s="6" t="s">
        <v>25</v>
      </c>
      <c r="C304" s="4">
        <f>VLOOKUP($B304, $F$195:$J$227, C$229)</f>
        <v>2.1463781496854519</v>
      </c>
      <c r="D304" s="7">
        <f>VLOOKUP($B304, $F$195:$J$227, D$229)</f>
        <v>-0.11842703976844744</v>
      </c>
    </row>
    <row r="305" spans="1:5">
      <c r="B305" s="6" t="s">
        <v>26</v>
      </c>
      <c r="C305" s="4">
        <f>VLOOKUP($B305, $F$195:$J$227, C$229)</f>
        <v>2.0517414689973723</v>
      </c>
      <c r="D305" s="7">
        <f>VLOOKUP($B305, $F$195:$J$227, D$229)</f>
        <v>-0.92485350131848998</v>
      </c>
    </row>
    <row r="306" spans="1:5">
      <c r="B306" s="6"/>
      <c r="C306" s="4"/>
      <c r="D306" s="7"/>
    </row>
    <row r="307" spans="1:5">
      <c r="B307" s="6" t="s">
        <v>0</v>
      </c>
      <c r="C307" s="4">
        <f>VLOOKUP($B307, $F$195:$J$227, C$229)</f>
        <v>4.1496753223393172</v>
      </c>
      <c r="D307" s="7">
        <f>VLOOKUP($B307, $F$195:$J$227, D$229)</f>
        <v>-0.6867854068640773</v>
      </c>
    </row>
    <row r="308" spans="1:5" ht="13" thickBot="1">
      <c r="B308" s="28" t="s">
        <v>27</v>
      </c>
      <c r="C308" s="8">
        <f>VLOOKUP($B308, $F$195:$J$227, C$229)</f>
        <v>3.9488827752873923</v>
      </c>
      <c r="D308" s="9">
        <f>VLOOKUP($B308, $F$195:$J$227, D$229)</f>
        <v>-1.5442874311843224</v>
      </c>
    </row>
    <row r="311" spans="1:5">
      <c r="A311" s="47" t="s">
        <v>64</v>
      </c>
    </row>
    <row r="313" spans="1:5">
      <c r="B313" s="76" t="s">
        <v>66</v>
      </c>
      <c r="C313" s="4"/>
      <c r="D313" s="4"/>
      <c r="E313" s="4"/>
    </row>
    <row r="314" spans="1:5">
      <c r="B314" s="76"/>
      <c r="C314" s="4"/>
      <c r="D314" s="4"/>
      <c r="E314" s="4"/>
    </row>
    <row r="351" spans="2:5">
      <c r="B351" s="76"/>
      <c r="C351" s="4"/>
      <c r="D351" s="4"/>
      <c r="E351" s="4"/>
    </row>
    <row r="352" spans="2:5">
      <c r="B352" s="77"/>
      <c r="C352" s="4"/>
      <c r="D352" s="4"/>
      <c r="E352" s="4"/>
    </row>
    <row r="353" spans="2:5">
      <c r="B353" s="77"/>
      <c r="C353" s="4"/>
      <c r="D353" s="4"/>
      <c r="E353" s="4"/>
    </row>
    <row r="354" spans="2:5">
      <c r="B354" s="77"/>
      <c r="C354" s="4"/>
      <c r="D354" s="4"/>
      <c r="E354" s="4"/>
    </row>
    <row r="355" spans="2:5">
      <c r="B355" s="77"/>
      <c r="C355" s="4"/>
      <c r="D355" s="4"/>
      <c r="E355" s="4"/>
    </row>
    <row r="356" spans="2:5">
      <c r="B356" s="77"/>
      <c r="C356" s="75"/>
      <c r="D356" s="75"/>
      <c r="E356" s="75"/>
    </row>
    <row r="357" spans="2:5">
      <c r="B357" s="77"/>
      <c r="C357" s="75"/>
      <c r="D357" s="75"/>
      <c r="E357" s="75"/>
    </row>
    <row r="358" spans="2:5">
      <c r="B358" s="78"/>
      <c r="C358" s="79"/>
      <c r="D358" s="79"/>
      <c r="E358" s="79"/>
    </row>
    <row r="359" spans="2:5">
      <c r="B359" s="77"/>
      <c r="C359" s="4"/>
      <c r="D359" s="4"/>
      <c r="E359" s="4"/>
    </row>
    <row r="360" spans="2:5">
      <c r="B360" s="77"/>
      <c r="C360" s="4"/>
      <c r="D360" s="4"/>
      <c r="E360" s="4"/>
    </row>
    <row r="361" spans="2:5">
      <c r="B361" s="78"/>
      <c r="C361" s="79"/>
      <c r="D361" s="79"/>
      <c r="E361" s="79"/>
    </row>
    <row r="362" spans="2:5">
      <c r="B362" s="77"/>
      <c r="C362" s="4"/>
      <c r="D362" s="4"/>
      <c r="E362" s="4"/>
    </row>
    <row r="363" spans="2:5">
      <c r="B363" s="77"/>
      <c r="C363" s="4"/>
      <c r="D363" s="4"/>
      <c r="E363" s="4"/>
    </row>
    <row r="364" spans="2:5">
      <c r="B364" s="77"/>
      <c r="C364" s="4"/>
      <c r="D364" s="4"/>
      <c r="E364" s="4"/>
    </row>
    <row r="367" spans="2:5">
      <c r="B367" s="4"/>
      <c r="C367" s="4"/>
      <c r="D367" s="4"/>
      <c r="E367" s="4"/>
    </row>
    <row r="368" spans="2:5">
      <c r="B368" s="4"/>
      <c r="C368" s="4"/>
      <c r="D368" s="4"/>
      <c r="E368" s="4"/>
    </row>
    <row r="369" spans="2:5">
      <c r="B369" s="4"/>
      <c r="C369" s="4"/>
      <c r="D369" s="4"/>
      <c r="E369" s="4"/>
    </row>
    <row r="370" spans="2:5">
      <c r="B370" s="4"/>
      <c r="C370" s="4"/>
      <c r="D370" s="4"/>
      <c r="E370" s="4"/>
    </row>
    <row r="371" spans="2:5">
      <c r="B371" s="4"/>
      <c r="C371" s="4"/>
      <c r="D371" s="4"/>
      <c r="E371" s="4"/>
    </row>
    <row r="372" spans="2:5">
      <c r="B372" s="4"/>
      <c r="C372" s="4"/>
      <c r="D372" s="4"/>
      <c r="E372" s="4"/>
    </row>
    <row r="373" spans="2:5">
      <c r="B373" s="4"/>
      <c r="C373" s="4"/>
      <c r="D373" s="4"/>
      <c r="E373" s="4"/>
    </row>
    <row r="374" spans="2:5">
      <c r="B374" s="4"/>
      <c r="C374" s="4"/>
      <c r="D374" s="4"/>
      <c r="E374" s="4"/>
    </row>
    <row r="375" spans="2:5">
      <c r="B375" s="4"/>
      <c r="C375" s="4"/>
      <c r="D375" s="4"/>
      <c r="E375" s="4"/>
    </row>
    <row r="376" spans="2:5">
      <c r="B376" s="4"/>
      <c r="C376" s="4"/>
      <c r="D376" s="4"/>
      <c r="E376" s="4"/>
    </row>
    <row r="377" spans="2:5">
      <c r="B377" s="4"/>
      <c r="C377" s="4"/>
      <c r="D377" s="4"/>
      <c r="E377" s="4"/>
    </row>
    <row r="378" spans="2:5">
      <c r="B378" s="4"/>
      <c r="C378" s="4"/>
      <c r="D378" s="4"/>
      <c r="E378" s="4"/>
    </row>
    <row r="379" spans="2:5">
      <c r="B379" s="4"/>
      <c r="C379" s="4"/>
      <c r="D379" s="4"/>
      <c r="E379" s="4"/>
    </row>
    <row r="380" spans="2:5">
      <c r="B380" s="4"/>
      <c r="C380" s="4"/>
      <c r="D380" s="4"/>
      <c r="E380" s="4"/>
    </row>
    <row r="381" spans="2:5">
      <c r="B381" s="4"/>
      <c r="C381" s="4"/>
      <c r="D381" s="4"/>
      <c r="E381" s="4"/>
    </row>
    <row r="382" spans="2:5">
      <c r="B382" s="4"/>
      <c r="C382" s="4"/>
      <c r="D382" s="4"/>
      <c r="E382" s="4"/>
    </row>
    <row r="383" spans="2:5">
      <c r="B383" s="4"/>
      <c r="C383" s="4"/>
      <c r="D383" s="4"/>
      <c r="E383" s="4"/>
    </row>
    <row r="384" spans="2:5">
      <c r="B384" s="4"/>
      <c r="C384" s="4"/>
      <c r="D384" s="4"/>
      <c r="E384" s="4"/>
    </row>
    <row r="385" spans="2:5">
      <c r="B385" s="4"/>
      <c r="C385" s="4"/>
      <c r="D385" s="4"/>
      <c r="E385" s="4"/>
    </row>
    <row r="386" spans="2:5">
      <c r="B386" s="4"/>
      <c r="C386" s="4"/>
      <c r="D386" s="4"/>
      <c r="E386" s="4"/>
    </row>
    <row r="387" spans="2:5">
      <c r="B387" s="4"/>
      <c r="C387" s="4"/>
      <c r="D387" s="4"/>
      <c r="E387" s="4"/>
    </row>
    <row r="388" spans="2:5">
      <c r="B388" s="4"/>
      <c r="C388" s="4"/>
      <c r="D388" s="4"/>
      <c r="E388" s="4"/>
    </row>
    <row r="389" spans="2:5">
      <c r="B389" s="4"/>
      <c r="C389" s="4"/>
      <c r="D389" s="4"/>
      <c r="E389" s="4"/>
    </row>
    <row r="390" spans="2:5">
      <c r="B390" s="4"/>
      <c r="C390" s="4"/>
      <c r="D390" s="4"/>
      <c r="E390" s="4"/>
    </row>
    <row r="391" spans="2:5">
      <c r="B391" s="4"/>
      <c r="C391" s="4"/>
      <c r="D391" s="4"/>
      <c r="E391" s="4"/>
    </row>
    <row r="392" spans="2:5">
      <c r="B392" s="4"/>
      <c r="C392" s="4"/>
      <c r="D392" s="4"/>
      <c r="E392" s="4"/>
    </row>
    <row r="393" spans="2:5">
      <c r="B393" s="4"/>
      <c r="C393" s="4"/>
      <c r="D393" s="4"/>
      <c r="E393" s="4"/>
    </row>
    <row r="394" spans="2:5">
      <c r="B394" s="4"/>
      <c r="C394" s="4"/>
      <c r="D394" s="4"/>
      <c r="E394" s="4"/>
    </row>
    <row r="395" spans="2:5">
      <c r="B395" s="4"/>
      <c r="C395" s="4"/>
      <c r="D395" s="4"/>
      <c r="E395" s="4"/>
    </row>
    <row r="396" spans="2:5">
      <c r="B396" s="4"/>
      <c r="C396" s="4"/>
      <c r="D396" s="4"/>
      <c r="E396" s="4"/>
    </row>
    <row r="397" spans="2:5">
      <c r="B397" s="4"/>
      <c r="C397" s="4"/>
      <c r="D397" s="4"/>
      <c r="E397" s="4"/>
    </row>
    <row r="398" spans="2:5">
      <c r="B398" s="4"/>
      <c r="C398" s="4"/>
      <c r="D398" s="4"/>
      <c r="E398" s="4"/>
    </row>
    <row r="399" spans="2:5">
      <c r="B399" s="4"/>
      <c r="C399" s="4"/>
      <c r="D399" s="4"/>
      <c r="E399" s="4"/>
    </row>
    <row r="400" spans="2:5">
      <c r="B400" s="4"/>
      <c r="C400" s="4"/>
      <c r="D400" s="4"/>
      <c r="E400" s="4"/>
    </row>
    <row r="401" spans="2:5">
      <c r="B401" s="4"/>
      <c r="C401" s="4"/>
      <c r="D401" s="4"/>
      <c r="E401" s="4"/>
    </row>
    <row r="402" spans="2:5">
      <c r="B402" s="4"/>
      <c r="C402" s="4"/>
      <c r="D402" s="4"/>
      <c r="E402" s="4"/>
    </row>
    <row r="403" spans="2:5">
      <c r="B403" s="4"/>
      <c r="C403" s="4"/>
      <c r="D403" s="4"/>
      <c r="E403" s="4"/>
    </row>
    <row r="404" spans="2:5">
      <c r="B404" s="4"/>
      <c r="C404" s="4"/>
      <c r="D404" s="4"/>
      <c r="E404" s="4"/>
    </row>
    <row r="405" spans="2:5">
      <c r="B405" s="4"/>
      <c r="C405" s="4"/>
      <c r="D405" s="4"/>
      <c r="E405" s="4"/>
    </row>
    <row r="406" spans="2:5">
      <c r="B406" s="4"/>
      <c r="C406" s="4"/>
      <c r="D406" s="4"/>
      <c r="E406" s="4"/>
    </row>
    <row r="407" spans="2:5">
      <c r="B407" s="4"/>
      <c r="C407" s="4"/>
      <c r="D407" s="4"/>
      <c r="E407" s="4"/>
    </row>
    <row r="408" spans="2:5">
      <c r="B408" s="4"/>
      <c r="C408" s="4"/>
      <c r="D408" s="4"/>
      <c r="E408" s="4"/>
    </row>
    <row r="409" spans="2:5">
      <c r="B409" s="4"/>
      <c r="C409" s="4"/>
      <c r="D409" s="4"/>
      <c r="E409" s="4"/>
    </row>
    <row r="410" spans="2:5">
      <c r="B410" s="4"/>
      <c r="C410" s="4"/>
      <c r="D410" s="4"/>
      <c r="E410" s="4"/>
    </row>
    <row r="411" spans="2:5">
      <c r="B411" s="4"/>
      <c r="C411" s="4"/>
      <c r="D411" s="4"/>
      <c r="E411" s="4"/>
    </row>
    <row r="412" spans="2:5">
      <c r="B412" s="4"/>
      <c r="C412" s="4"/>
      <c r="D412" s="4"/>
      <c r="E412" s="4"/>
    </row>
    <row r="413" spans="2:5">
      <c r="B413" s="4"/>
      <c r="C413" s="4"/>
      <c r="D413" s="4"/>
      <c r="E413" s="4"/>
    </row>
  </sheetData>
  <sheetCalcPr fullCalcOnLoad="1"/>
  <phoneticPr fontId="0" type="noConversion"/>
  <pageMargins left="0.75" right="0.75" top="1" bottom="1" header="0.5" footer="0.5"/>
  <pageSetup scale="52" fitToHeight="5" orientation="landscape" horizontalDpi="300" verticalDpi="300"/>
  <headerFooter alignWithMargins="0"/>
  <drawing r:id="rId1"/>
  <legacyDrawing r:id="rId2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445753</vt:lpstr>
      <vt:lpstr>Main</vt:lpstr>
    </vt:vector>
  </TitlesOfParts>
  <Company>BCIT</Company>
  <LinksUpToDate>false</LinksUpToDate>
  <SharedDoc>false</SharedDoc>
  <HyperlinksChanged>false</HyperlinksChanged>
  <AppVersion>12.0256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Steffen L. Norgren</cp:lastModifiedBy>
  <cp:lastPrinted>2009-03-27T15:27:32Z</cp:lastPrinted>
  <dcterms:created xsi:type="dcterms:W3CDTF">2001-04-27T20:25:39Z</dcterms:created>
  <dcterms:modified xsi:type="dcterms:W3CDTF">2009-03-27T15:27:42Z</dcterms:modified>
</cp:coreProperties>
</file>